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oshch\Desktop\"/>
    </mc:Choice>
  </mc:AlternateContent>
  <xr:revisionPtr revIDLastSave="0" documentId="13_ncr:1_{C1E1EC89-EFB4-45AE-A563-B29ADC8941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Ошибки клиента" sheetId="3" r:id="rId2"/>
    <sheet name="Ошибки 1481" sheetId="4" r:id="rId3"/>
  </sheets>
  <definedNames>
    <definedName name="_xlnm._FilterDatabase" localSheetId="0" hidden="1">Лист1!$A$1:$K$87</definedName>
  </definedName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4" l="1"/>
  <c r="A6" i="4"/>
  <c r="A5" i="4"/>
  <c r="A4" i="4"/>
  <c r="A3" i="4"/>
  <c r="A2" i="4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2" i="1"/>
  <c r="A4" i="3" l="1"/>
  <c r="A2" i="3"/>
  <c r="A3" i="3"/>
  <c r="F87" i="1"/>
  <c r="F76" i="1"/>
  <c r="F77" i="1"/>
  <c r="F78" i="1"/>
  <c r="F79" i="1"/>
  <c r="F80" i="1"/>
  <c r="F81" i="1"/>
  <c r="F82" i="1"/>
  <c r="F83" i="1"/>
  <c r="F84" i="1"/>
  <c r="F85" i="1"/>
  <c r="F86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47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24" i="1"/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</calcChain>
</file>

<file path=xl/sharedStrings.xml><?xml version="1.0" encoding="utf-8"?>
<sst xmlns="http://schemas.openxmlformats.org/spreadsheetml/2006/main" count="683" uniqueCount="188">
  <si>
    <t>NWR-35</t>
  </si>
  <si>
    <t>номер</t>
  </si>
  <si>
    <t>лист</t>
  </si>
  <si>
    <t>присланный класс</t>
  </si>
  <si>
    <t>класс в ответе 1481</t>
  </si>
  <si>
    <t>NWR-42</t>
  </si>
  <si>
    <t>наименование файла</t>
  </si>
  <si>
    <t>Screenshot_20260419-094314_Drive.jpg</t>
  </si>
  <si>
    <t>tax_declaration</t>
  </si>
  <si>
    <t>Screenshot_20260419-094159_Drive.jpg</t>
  </si>
  <si>
    <t>extended_acc_statement_12_months</t>
  </si>
  <si>
    <t>Screenshot_20260417-170732_Drive.jpg</t>
  </si>
  <si>
    <t>explanatory_note</t>
  </si>
  <si>
    <t>реальный класс документа</t>
  </si>
  <si>
    <t>Screenshot_20260419-094320_Drive.jpg</t>
  </si>
  <si>
    <t>other</t>
  </si>
  <si>
    <t>NWR-43</t>
  </si>
  <si>
    <t>ИП_Калиничева_Дарья_Антоновна_251008916027-_Декларация_по_упрощенной_системе_налогообложения_за_2025_год.pdf</t>
  </si>
  <si>
    <t>Экспорт_чеков_от_20-04-2026.xlsx</t>
  </si>
  <si>
    <t>2_5416061250402557620.pdf</t>
  </si>
  <si>
    <t>письмо_пояснение.pdf</t>
  </si>
  <si>
    <t>NWR-40</t>
  </si>
  <si>
    <t>СберБизнес._Выписка_за_2026.01.01-2026.04.17_счёт_40802810850000020909.pdf</t>
  </si>
  <si>
    <t>IMG_20260417_214826.jpg</t>
  </si>
  <si>
    <t>patent</t>
  </si>
  <si>
    <t>ПЗ.docx</t>
  </si>
  <si>
    <t>NWR-41</t>
  </si>
  <si>
    <t>NWR-34</t>
  </si>
  <si>
    <t>4080281062******2515_044525104_(01.01.2026_-_14.04.2026).pdf</t>
  </si>
  <si>
    <t>4080281062******2515_044525104_(01.01.2026_-_14.04.2026).xlsx</t>
  </si>
  <si>
    <t>Патент_2026_год.pdf</t>
  </si>
  <si>
    <t>Пояснение.pdf</t>
  </si>
  <si>
    <t>ce806d64-41fb-46b0-a856-94c81fc9d8d9_(1)-compressed.pdf</t>
  </si>
  <si>
    <t>0314b9d2-a8e0-469d-a7b1-7296720a7b23(1)-compressed.pdf</t>
  </si>
  <si>
    <t>IMG_20260417_153927.jpg</t>
  </si>
  <si>
    <t>IMG_20260417_153935.jpg</t>
  </si>
  <si>
    <t>IMG_9133.png</t>
  </si>
  <si>
    <t>Документ_27.docx</t>
  </si>
  <si>
    <t>IMG_9134.png</t>
  </si>
  <si>
    <t>3_ndfl</t>
  </si>
  <si>
    <t>statement_of_the_transaction_history</t>
  </si>
  <si>
    <t>explanatory_note_crypt</t>
  </si>
  <si>
    <t>расхождение присланный/ответ</t>
  </si>
  <si>
    <t>договор</t>
  </si>
  <si>
    <t>платежное поручение</t>
  </si>
  <si>
    <t>Не правильно указан тип документа.</t>
  </si>
  <si>
    <t>скриншот ордера из приложения</t>
  </si>
  <si>
    <t>XML ошибка не воспроизвелась. Не корректно располагать 2 патента на 1 странице.</t>
  </si>
  <si>
    <t>Всё корректно.</t>
  </si>
  <si>
    <t>экспорт чеков</t>
  </si>
  <si>
    <t>выписка</t>
  </si>
  <si>
    <t>уведомление о налоговой декларации</t>
  </si>
  <si>
    <t>два патента на 1 листе</t>
  </si>
  <si>
    <t>Падает из-за этого документа. Xlsx. Отключена регулярка баговая в Выписке за 12 месяцев в классификации.</t>
  </si>
  <si>
    <t>ошибка</t>
  </si>
  <si>
    <t>Отдельно загруженный документ прошел без ошибок.</t>
  </si>
  <si>
    <t>Отдельно загруженный документ упал с ошибкой - "Error prepare pages, input xlsx is invalid". Убрал в эксель пустые строки и столбцы в начале и всё прошло без ошибок. Будет доработка Нади</t>
  </si>
  <si>
    <r>
      <t xml:space="preserve">Отдельно загруженный документ прошел без ошибок. Распознано атрибутов 2 из 2, но </t>
    </r>
    <r>
      <rPr>
        <u/>
        <sz val="11"/>
        <color theme="1"/>
        <rFont val="Calibri"/>
        <family val="2"/>
        <charset val="204"/>
        <scheme val="minor"/>
      </rPr>
      <t>ФЛК</t>
    </r>
    <r>
      <rPr>
        <sz val="11"/>
        <color theme="1"/>
        <rFont val="Calibri"/>
        <family val="2"/>
        <charset val="204"/>
        <scheme val="minor"/>
      </rPr>
      <t xml:space="preserve"> работает не правильно. Исправлено добавлением возможности указания будущих дат</t>
    </r>
  </si>
  <si>
    <t>Отдельно загруженный документ прошел без ошибок. Атрибутов 2 из 3 извлечено.</t>
  </si>
  <si>
    <t>Отдельно загруженный документ прошел без ошибок. Выписка..</t>
  </si>
  <si>
    <t>Отдельно загруженный документ прошел без ошибок. Атрибутов 2 из 2 извлечено.</t>
  </si>
  <si>
    <t>NWR-44</t>
  </si>
  <si>
    <t>NWR-45</t>
  </si>
  <si>
    <t>NWR-46</t>
  </si>
  <si>
    <t>NWR-47</t>
  </si>
  <si>
    <t>NWR-48</t>
  </si>
  <si>
    <t>NWR-49</t>
  </si>
  <si>
    <t>NWR-50</t>
  </si>
  <si>
    <t>NWR-53</t>
  </si>
  <si>
    <t>downloadfile.PDF</t>
  </si>
  <si>
    <t>4080281052******0300_044525104_(01.01.2026_-_19.04_(3).pdf</t>
  </si>
  <si>
    <t>Лист_записи_ЕГРИП_от_19.11.2025.pdf</t>
  </si>
  <si>
    <t>Без_названия153_20260420172428.jpg</t>
  </si>
  <si>
    <t>Выписка_рсч_ИП_40802810604500004212_044525104_(21.01.2026_-_20.04.2026).pdf</t>
  </si>
  <si>
    <t>Патент_2026.pdf</t>
  </si>
  <si>
    <t>Пояснение_от_21042026(1).pdf</t>
  </si>
  <si>
    <t>VTB_BankStatement_some_accounts_01.01.2026-31.01.2026_71608_additional_filter.pdf</t>
  </si>
  <si>
    <t>ПСН_матина_2025_3.pdf</t>
  </si>
  <si>
    <t>001.jpg</t>
  </si>
  <si>
    <t>IMG_20260421_1131443838454130856824404.jpg</t>
  </si>
  <si>
    <t>IMG_20260421_113223443727870416881062.jpg</t>
  </si>
  <si>
    <t>IMG_20260421_1132411903660259320353903.jpg</t>
  </si>
  <si>
    <t>IMG_20260421_1132488631474415844664341.jpg</t>
  </si>
  <si>
    <t>IMG_20260421_1132561364630175643485507.jpg</t>
  </si>
  <si>
    <t>IMG_20260421_1133033537169721876086973.jpg</t>
  </si>
  <si>
    <t>IMG_20260421_1133127860452494855737543.jpg</t>
  </si>
  <si>
    <t>IMG_20260421_1136416882238795731784746.jpg</t>
  </si>
  <si>
    <t>ВЫПИСКА_ПО_СЧЕТУ_С_12.01-20.04.26Г..pdf</t>
  </si>
  <si>
    <t>Патент.pdf</t>
  </si>
  <si>
    <t>Пояснительна_записка.pdf</t>
  </si>
  <si>
    <t>Выписка_по_счёту_№_40802_810_1_6740_0432501_c_01.01.2026_по_31.03.2026(1).pdf</t>
  </si>
  <si>
    <t>138788483.192810359046858676.1.2.pdf</t>
  </si>
  <si>
    <t>Пояснительная.pdf</t>
  </si>
  <si>
    <t>Screenshot_20260420-114309.png</t>
  </si>
  <si>
    <t>Screenshot_20260422-134147.png</t>
  </si>
  <si>
    <t>Screenshot_20260422-134131.png</t>
  </si>
  <si>
    <t>Screenshot_20260422-134318.png</t>
  </si>
  <si>
    <t>Должна классифицироваться, поправить алгоритм</t>
  </si>
  <si>
    <t>Лист записи единого государственного реестра ип</t>
  </si>
  <si>
    <t>XML ошибка не воспроизвелась. Классификация поправлена</t>
  </si>
  <si>
    <t>XML ошибка не воспроизвелась. Классификация работает корректно</t>
  </si>
  <si>
    <t>Плохо отсканирован документ. Искривление текста (дуга). Извлечение атрибутов 0 из 2.</t>
  </si>
  <si>
    <t>Статус исправления</t>
  </si>
  <si>
    <t>Отдельно загруженная прошла без ошибок. Распознано атрибутов 0 из 2, но их там нет</t>
  </si>
  <si>
    <t>Комментарий разработчика</t>
  </si>
  <si>
    <t>уведомление о постановке на учет в налоговом органе</t>
  </si>
  <si>
    <t>книга учета дохода и расхода организации</t>
  </si>
  <si>
    <t>Не правильно указан тип документа, плохое качество</t>
  </si>
  <si>
    <t>Поправим обработку будущей даты</t>
  </si>
  <si>
    <t>исправлено</t>
  </si>
  <si>
    <t>трудовой договор</t>
  </si>
  <si>
    <t>скриншот с приложения втб</t>
  </si>
  <si>
    <t>скриншот поступлений</t>
  </si>
  <si>
    <t>скриншот с приложения ставок</t>
  </si>
  <si>
    <t>01_019db373-f6e4-6bec-b7ba-b2da49e126f6</t>
  </si>
  <si>
    <t>02_019dba0f-b38f-5e99-a2b2-2cf7c0d27d7d</t>
  </si>
  <si>
    <t>03_019dba6d-9b3d-2d37-786b-24c97ee5a143</t>
  </si>
  <si>
    <t>04_019dbf84-9185-a49a-abf0-3065bf4c67d7</t>
  </si>
  <si>
    <t>05_019dca36-38b0-624f-cb42-c46e72c4e3aa</t>
  </si>
  <si>
    <t>06_019dcaa0-ceca-ee42-62e1-b60bfb9916e6</t>
  </si>
  <si>
    <t>Screenshot_20260422-110547.png</t>
  </si>
  <si>
    <t>Screenshot_20260422-111118.png</t>
  </si>
  <si>
    <t>IMG_20260422_111733.jpg</t>
  </si>
  <si>
    <t>XML ошибка на ифт не воспроизвелась, интеграционно не воспроизвелась</t>
  </si>
  <si>
    <t>Рукописная</t>
  </si>
  <si>
    <t>Нет ключевых слов, мало текста</t>
  </si>
  <si>
    <t>Выписка_40802810820000011414_01.02.2026–23.04.2026.pdf</t>
  </si>
  <si>
    <t>Screenshot_20260423_210232_Chrome.jpg</t>
  </si>
  <si>
    <t>Notes_260423_211548.pdf</t>
  </si>
  <si>
    <t>1121021_1500_151302730360_31441164-331a-4065-af8e-5c1894a3f97c_20260317_31441164-331a-4065-af8e-5c1894a3f97c.pdf</t>
  </si>
  <si>
    <t>40802810120000921560_044525104_(24.01.2026_-_23.04.2026).pdf</t>
  </si>
  <si>
    <t>1776949081117.png</t>
  </si>
  <si>
    <t>1774007521791.png</t>
  </si>
  <si>
    <t>договор аренды</t>
  </si>
  <si>
    <t>07_019dcfe4-94b7-eade-06d1-0d7fb5f9d1d4</t>
  </si>
  <si>
    <t>08_019dd049-43c9-a8df-ea02-f8a202fd9875</t>
  </si>
  <si>
    <t>Ложная классификация, нужно поправить</t>
  </si>
  <si>
    <t>IMG_6581.png</t>
  </si>
  <si>
    <t>IMG_6585.jpeg.jpg</t>
  </si>
  <si>
    <t>IMG_6583.png</t>
  </si>
  <si>
    <t>Выписка_по_нескольким_счетам_01.01.2026–26.04.2026.pdf</t>
  </si>
  <si>
    <t>патент_сергеева_0502_по_310326.pdf</t>
  </si>
  <si>
    <t>выписка_МТС_ИП_сергеева_2026.pdf</t>
  </si>
  <si>
    <t>image.jpg</t>
  </si>
  <si>
    <t>image2.jpg</t>
  </si>
  <si>
    <t>image3.jpg</t>
  </si>
  <si>
    <t>image4.jpg</t>
  </si>
  <si>
    <t>image5.jpg</t>
  </si>
  <si>
    <t>image6.jpg</t>
  </si>
  <si>
    <t>image7.jpg</t>
  </si>
  <si>
    <t>Estado_de_cuenta_-_Enero_2026.pdf</t>
  </si>
  <si>
    <t>Estado_de_cuenta_-_Marzo_2026.pdf</t>
  </si>
  <si>
    <t>Estado_de_cuenta_-_Febrero_2026.pdf</t>
  </si>
  <si>
    <t>Пояснительная_записка_о_целях_операций_по_счетам.pdf</t>
  </si>
  <si>
    <t>Скриншот_«Профиля».pdf</t>
  </si>
  <si>
    <t>IMG_1960.png</t>
  </si>
  <si>
    <t>IMG_1995.png</t>
  </si>
  <si>
    <t>IMG_1952.png</t>
  </si>
  <si>
    <t>IMG_1956.png</t>
  </si>
  <si>
    <t>IMG_1957.png</t>
  </si>
  <si>
    <t>IMG_1959.png</t>
  </si>
  <si>
    <t>какой то скриншот</t>
  </si>
  <si>
    <t>патент</t>
  </si>
  <si>
    <t>скриншот операции из приложения</t>
  </si>
  <si>
    <t>выписка из лицевого счета</t>
  </si>
  <si>
    <t>Должна классифицироваться???</t>
  </si>
  <si>
    <t>паспорт иностраного гражданина</t>
  </si>
  <si>
    <t>чек ордер</t>
  </si>
  <si>
    <t>зеленая карта</t>
  </si>
  <si>
    <t>уведомление об осуществлении труд деятельности иностранным гражданином</t>
  </si>
  <si>
    <t>скриншоты из иностранного банка</t>
  </si>
  <si>
    <t>скриншот с втб онлайн</t>
  </si>
  <si>
    <t>расхождение присланный/реальный</t>
  </si>
  <si>
    <t>ошибка 1481</t>
  </si>
  <si>
    <t>нет</t>
  </si>
  <si>
    <t>да</t>
  </si>
  <si>
    <t>не по форме КНД???</t>
  </si>
  <si>
    <t>вопрос</t>
  </si>
  <si>
    <t>Ошибки системы 1481</t>
  </si>
  <si>
    <t>Общий итог</t>
  </si>
  <si>
    <t>ЛОЖЬ</t>
  </si>
  <si>
    <t>Документ</t>
  </si>
  <si>
    <t>Количество ошибок клиента</t>
  </si>
  <si>
    <t>пояснительная рукописная</t>
  </si>
  <si>
    <t>пояснительная, мало текста</t>
  </si>
  <si>
    <t>Ошибки клиента</t>
  </si>
  <si>
    <t>Детализация ошибок</t>
  </si>
  <si>
    <t>Количество ошибок 1481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</si>
</sst>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sz val="10"/>
      <color rgb="FF0F1115"/>
      <name val="Consolas"/>
      <family val="3"/>
      <charset val="20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0" borderId="1" xfId="0" applyBorder="1"/>
    <xf numFmtId="0" fontId="0" fillId="5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5" borderId="2" xfId="0" applyFill="1" applyBorder="1" applyAlignment="1">
      <alignment horizontal="left" vertical="top"/>
    </xf>
    <xf numFmtId="0" fontId="0" fillId="2" borderId="2" xfId="0" applyFill="1" applyBorder="1"/>
    <xf numFmtId="0" fontId="0" fillId="5" borderId="2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49" fontId="0" fillId="5" borderId="1" xfId="0" applyNumberFormat="1" applyFill="1" applyBorder="1" applyAlignment="1">
      <alignment horizontal="left" vertical="top"/>
    </xf>
    <xf numFmtId="49" fontId="0" fillId="0" borderId="1" xfId="0" applyNumberFormat="1" applyFill="1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49" fontId="0" fillId="3" borderId="1" xfId="0" applyNumberForma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  <xf numFmtId="0" fontId="0" fillId="8" borderId="0" xfId="0" applyFill="1"/>
    <xf numFmtId="0" fontId="2" fillId="0" borderId="0" xfId="0" applyFont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олай Ощепков" refreshedDate="46142.500057870369" createdVersion="8" refreshedVersion="8" minRefreshableVersion="3" recordCount="86" xr:uid="{B9AC48DD-072B-4A89-A01D-B1A8CC85CDD2}">
  <cacheSource type="worksheet">
    <worksheetSource ref="A1:K87" sheet="Лист1"/>
  </cacheSource>
  <cacheFields count="11">
    <cacheField name="лист" numFmtId="0">
      <sharedItems containsString="0" containsBlank="1" containsNumber="1" containsInteger="1" minValue="5" maxValue="19"/>
    </cacheField>
    <cacheField name="номер" numFmtId="0">
      <sharedItems/>
    </cacheField>
    <cacheField name="наименование файла" numFmtId="49">
      <sharedItems/>
    </cacheField>
    <cacheField name="присланный класс" numFmtId="0">
      <sharedItems count="7">
        <s v="extended_acc_statement_12_months"/>
        <s v="patent"/>
        <s v="explanatory_note"/>
        <s v="tax_declaration"/>
        <s v="3_ndfl"/>
        <s v="explanatory_note_crypt"/>
        <s v="statement_of_the_transaction_history"/>
      </sharedItems>
    </cacheField>
    <cacheField name="класс в ответе 1481" numFmtId="0">
      <sharedItems/>
    </cacheField>
    <cacheField name="расхождение присланный/ответ" numFmtId="0">
      <sharedItems/>
    </cacheField>
    <cacheField name="реальный класс документа" numFmtId="0">
      <sharedItems count="34">
        <s v="extended_acc_statement_12_months"/>
        <s v="patent"/>
        <s v="explanatory_note"/>
        <s v="платежное поручение"/>
        <s v="договор"/>
        <s v="пояснительная рукописная"/>
        <s v="скриншот ордера из приложения"/>
        <s v="пояснительная, мало текста"/>
        <s v="statement_of_the_transaction_history"/>
        <s v="два патента на 1 листе"/>
        <s v="уведомление о налоговой декларации"/>
        <s v="tax_declaration"/>
        <s v="экспорт чеков"/>
        <s v="выписка"/>
        <s v="Лист записи единого государственного реестра ип"/>
        <s v="уведомление о постановке на учет в налоговом органе"/>
        <s v="книга учета дохода и расхода организации"/>
        <s v="трудовой договор"/>
        <s v="скриншот с приложения втб"/>
        <s v="скриншот поступлений"/>
        <s v="скриншот с приложения ставок"/>
        <s v="какой то скриншот"/>
        <s v="патент"/>
        <s v="договор аренды"/>
        <s v="скриншот операции из приложения"/>
        <s v="выписка из лицевого счета"/>
        <s v="паспорт иностраного гражданина"/>
        <s v="чек ордер"/>
        <s v="зеленая карта"/>
        <s v="уведомление об осуществлении труд деятельности иностранным гражданином"/>
        <s v="скриншоты из иностранного банка"/>
        <s v="explanatory_note_crypt"/>
        <s v="скриншот с втб онлайн"/>
        <s v="пояснительная" u="1"/>
      </sharedItems>
    </cacheField>
    <cacheField name="расхождение присланный/реальный" numFmtId="0">
      <sharedItems count="2">
        <b v="1"/>
        <b v="0"/>
      </sharedItems>
    </cacheField>
    <cacheField name="ошибка 1481" numFmtId="0">
      <sharedItems count="3">
        <s v="да"/>
        <s v="нет"/>
        <s v="вопрос"/>
      </sharedItems>
    </cacheField>
    <cacheField name="Комментарий разработчика" numFmtId="0">
      <sharedItems/>
    </cacheField>
    <cacheField name="Статус исправления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n v="5"/>
    <s v="NWR-35"/>
    <s v="4080281062******2515_044525104_(01.01.2026_-_14.04.2026).pdf"/>
    <x v="0"/>
    <s v="ошибка"/>
    <b v="0"/>
    <x v="0"/>
    <x v="0"/>
    <x v="0"/>
    <s v="Отдельно загруженный документ прошел без ошибок."/>
    <s v="исправлено"/>
  </r>
  <r>
    <n v="5"/>
    <s v="NWR-35"/>
    <s v="4080281062******2515_044525104_(01.01.2026_-_14.04.2026).xlsx"/>
    <x v="0"/>
    <s v="ошибка"/>
    <b v="0"/>
    <x v="0"/>
    <x v="0"/>
    <x v="0"/>
    <s v="Отдельно загруженный документ упал с ошибкой - &quot;Error prepare pages, input xlsx is invalid&quot;. Убрал в эксель пустые строки и столбцы в начале и всё прошло без ошибок. Будет доработка Нади"/>
    <s v="исправлено"/>
  </r>
  <r>
    <n v="5"/>
    <s v="NWR-35"/>
    <s v="Патент_2026_год.pdf"/>
    <x v="1"/>
    <s v="ошибка"/>
    <b v="0"/>
    <x v="1"/>
    <x v="0"/>
    <x v="0"/>
    <s v="Отдельно загруженный документ прошел без ошибок. Распознано атрибутов 2 из 2, но ФЛК работает не правильно. Исправлено добавлением возможности указания будущих дат"/>
    <s v="исправлено"/>
  </r>
  <r>
    <n v="5"/>
    <s v="NWR-35"/>
    <s v="Пояснение.pdf"/>
    <x v="2"/>
    <s v="ошибка"/>
    <b v="0"/>
    <x v="2"/>
    <x v="0"/>
    <x v="0"/>
    <s v="Отдельно загруженная прошла без ошибок. Распознано атрибутов 0 из 2, но их там нет"/>
    <s v="исправлено"/>
  </r>
  <r>
    <n v="7"/>
    <s v="NWR-41"/>
    <s v="ce806d64-41fb-46b0-a856-94c81fc9d8d9_(1)-compressed.pdf"/>
    <x v="3"/>
    <s v="other"/>
    <b v="0"/>
    <x v="3"/>
    <x v="1"/>
    <x v="1"/>
    <s v="Не правильно указан тип документа."/>
    <m/>
  </r>
  <r>
    <n v="7"/>
    <s v="NWR-41"/>
    <s v="0314b9d2-a8e0-469d-a7b1-7296720a7b23(1)-compressed.pdf"/>
    <x v="0"/>
    <s v="other"/>
    <b v="0"/>
    <x v="4"/>
    <x v="1"/>
    <x v="1"/>
    <s v="Не правильно указан тип документа."/>
    <m/>
  </r>
  <r>
    <n v="7"/>
    <s v="NWR-41"/>
    <s v="IMG_20260417_153927.jpg"/>
    <x v="2"/>
    <s v="other"/>
    <b v="0"/>
    <x v="5"/>
    <x v="1"/>
    <x v="1"/>
    <s v="Рукописная"/>
    <m/>
  </r>
  <r>
    <n v="7"/>
    <s v="NWR-41"/>
    <s v="IMG_20260417_153935.jpg"/>
    <x v="2"/>
    <s v="other"/>
    <b v="0"/>
    <x v="5"/>
    <x v="1"/>
    <x v="1"/>
    <s v="Рукописная"/>
    <m/>
  </r>
  <r>
    <n v="8"/>
    <s v="NWR-34"/>
    <s v="IMG_9133.png"/>
    <x v="4"/>
    <s v="other"/>
    <b v="0"/>
    <x v="6"/>
    <x v="1"/>
    <x v="1"/>
    <s v="Не правильно указан тип документа."/>
    <m/>
  </r>
  <r>
    <n v="8"/>
    <s v="NWR-34"/>
    <s v="Документ_27.docx"/>
    <x v="5"/>
    <s v="other"/>
    <b v="0"/>
    <x v="7"/>
    <x v="1"/>
    <x v="1"/>
    <s v="Нет ключевых слов, мало текста"/>
    <m/>
  </r>
  <r>
    <n v="8"/>
    <s v="NWR-34"/>
    <s v="IMG_9134.png"/>
    <x v="6"/>
    <s v="other"/>
    <b v="0"/>
    <x v="8"/>
    <x v="0"/>
    <x v="2"/>
    <s v="Должна классифицироваться???"/>
    <m/>
  </r>
  <r>
    <n v="9"/>
    <s v="NWR-40"/>
    <s v="СберБизнес._Выписка_за_2026.01.01-2026.04.17_счёт_40802810850000020909.pdf"/>
    <x v="0"/>
    <s v="ошибка"/>
    <b v="0"/>
    <x v="0"/>
    <x v="0"/>
    <x v="0"/>
    <s v="XML ошибка не воспроизвелась. Классификация поправлена"/>
    <s v="XML ошибка на ифт не воспроизвелась, интеграционно не воспроизвелась"/>
  </r>
  <r>
    <n v="9"/>
    <s v="NWR-40"/>
    <s v="IMG_20260417_214826.jpg"/>
    <x v="1"/>
    <s v="ошибка"/>
    <b v="0"/>
    <x v="9"/>
    <x v="1"/>
    <x v="0"/>
    <s v="XML ошибка не воспроизвелась. Не корректно располагать 2 патента на 1 странице."/>
    <s v="XML ошибка на ифт не воспроизвелась, интеграционно не воспроизвелась"/>
  </r>
  <r>
    <n v="9"/>
    <s v="NWR-40"/>
    <s v="ПЗ.docx"/>
    <x v="2"/>
    <s v="ошибка"/>
    <b v="0"/>
    <x v="2"/>
    <x v="0"/>
    <x v="0"/>
    <s v="XML ошибка не воспроизвелась. Классификация работает корректно"/>
    <s v="XML ошибка на ифт не воспроизвелась, интеграционно не воспроизвелась"/>
  </r>
  <r>
    <n v="10"/>
    <s v="NWR-42"/>
    <s v="Screenshot_20260419-094314_Drive.jpg"/>
    <x v="3"/>
    <s v="other"/>
    <b v="0"/>
    <x v="10"/>
    <x v="1"/>
    <x v="1"/>
    <s v="Не правильно указан тип документа."/>
    <m/>
  </r>
  <r>
    <n v="10"/>
    <s v="NWR-42"/>
    <s v="Screenshot_20260419-094320_Drive.jpg"/>
    <x v="3"/>
    <s v="other"/>
    <b v="0"/>
    <x v="10"/>
    <x v="1"/>
    <x v="1"/>
    <s v="Не правильно указан тип документа."/>
    <m/>
  </r>
  <r>
    <n v="10"/>
    <s v="NWR-42"/>
    <s v="Screenshot_20260419-094159_Drive.jpg"/>
    <x v="0"/>
    <s v="extended_acc_statement_12_months"/>
    <b v="1"/>
    <x v="0"/>
    <x v="0"/>
    <x v="1"/>
    <s v="Всё корректно."/>
    <m/>
  </r>
  <r>
    <n v="10"/>
    <s v="NWR-42"/>
    <s v="Screenshot_20260417-170732_Drive.jpg"/>
    <x v="2"/>
    <s v="explanatory_note"/>
    <b v="1"/>
    <x v="2"/>
    <x v="0"/>
    <x v="1"/>
    <s v="Плохо отсканирован документ. Искривление текста (дуга). Извлечение атрибутов 0 из 2."/>
    <m/>
  </r>
  <r>
    <n v="11"/>
    <s v="NWR-43"/>
    <s v="ИП_Калиничева_Дарья_Антоновна_251008916027-_Декларация_по_упрощенной_системе_налогообложения_за_2025_год.pdf"/>
    <x v="3"/>
    <s v="ошибка"/>
    <b v="0"/>
    <x v="11"/>
    <x v="0"/>
    <x v="0"/>
    <s v="Отдельно загруженный документ прошел без ошибок. Атрибутов 2 из 3 извлечено."/>
    <s v="исправлено"/>
  </r>
  <r>
    <n v="11"/>
    <s v="NWR-43"/>
    <s v="Экспорт_чеков_от_20-04-2026.xlsx"/>
    <x v="0"/>
    <s v="ошибка"/>
    <b v="0"/>
    <x v="12"/>
    <x v="1"/>
    <x v="0"/>
    <s v="Падает из-за этого документа. Xlsx. Отключена регулярка баговая в Выписке за 12 месяцев в классификации."/>
    <s v="исправлено"/>
  </r>
  <r>
    <n v="11"/>
    <s v="NWR-43"/>
    <s v="2_5416061250402557620.pdf"/>
    <x v="0"/>
    <s v="ошибка"/>
    <b v="0"/>
    <x v="0"/>
    <x v="0"/>
    <x v="0"/>
    <s v="Отдельно загруженный документ прошел без ошибок. Выписка.."/>
    <s v="исправлено"/>
  </r>
  <r>
    <n v="11"/>
    <s v="NWR-43"/>
    <s v="письмо_пояснение.pdf"/>
    <x v="2"/>
    <s v="ошибка"/>
    <b v="0"/>
    <x v="2"/>
    <x v="0"/>
    <x v="0"/>
    <s v="Отдельно загруженный документ прошел без ошибок. Атрибутов 2 из 2 извлечено."/>
    <s v="исправлено"/>
  </r>
  <r>
    <n v="12"/>
    <s v="NWR-44"/>
    <s v="downloadfile.PDF"/>
    <x v="3"/>
    <s v="other"/>
    <b v="0"/>
    <x v="13"/>
    <x v="1"/>
    <x v="1"/>
    <s v="Не правильно указан тип документа."/>
    <m/>
  </r>
  <r>
    <n v="12"/>
    <s v="NWR-44"/>
    <s v="downloadfile.PDF"/>
    <x v="0"/>
    <s v="other"/>
    <b v="0"/>
    <x v="0"/>
    <x v="0"/>
    <x v="0"/>
    <s v="Должна классифицироваться, поправить алгоритм"/>
    <m/>
  </r>
  <r>
    <n v="12"/>
    <s v="NWR-44"/>
    <s v="downloadfile.PDF"/>
    <x v="2"/>
    <s v="other"/>
    <b v="0"/>
    <x v="13"/>
    <x v="1"/>
    <x v="1"/>
    <s v="Не правильно указан тип документа."/>
    <m/>
  </r>
  <r>
    <n v="13"/>
    <s v="NWR-45"/>
    <s v="4080281052******0300_044525104_(01.01.2026_-_19.04_(3).pdf"/>
    <x v="0"/>
    <s v="extended_acc_statement_12_months"/>
    <b v="1"/>
    <x v="0"/>
    <x v="0"/>
    <x v="1"/>
    <s v="Всё корректно."/>
    <m/>
  </r>
  <r>
    <n v="13"/>
    <s v="NWR-45"/>
    <s v="Лист_записи_ЕГРИП_от_19.11.2025.pdf"/>
    <x v="1"/>
    <s v="other"/>
    <b v="0"/>
    <x v="14"/>
    <x v="1"/>
    <x v="1"/>
    <s v="Не правильно указан тип документа."/>
    <m/>
  </r>
  <r>
    <n v="13"/>
    <s v="NWR-45"/>
    <s v="Без_названия153_20260420172428.jpg"/>
    <x v="2"/>
    <s v="other"/>
    <b v="0"/>
    <x v="7"/>
    <x v="1"/>
    <x v="1"/>
    <s v="Нет ключевых слов, мало текста"/>
    <m/>
  </r>
  <r>
    <n v="14"/>
    <s v="NWR-46"/>
    <s v="Выписка_рсч_ИП_40802810604500004212_044525104_(21.01.2026_-_20.04.2026).pdf"/>
    <x v="0"/>
    <s v="extended_acc_statement_12_months"/>
    <b v="1"/>
    <x v="0"/>
    <x v="0"/>
    <x v="1"/>
    <s v="Всё корректно."/>
    <m/>
  </r>
  <r>
    <n v="14"/>
    <s v="NWR-46"/>
    <s v="Патент_2026.pdf"/>
    <x v="1"/>
    <s v="patent"/>
    <b v="1"/>
    <x v="1"/>
    <x v="0"/>
    <x v="0"/>
    <s v="Поправим обработку будущей даты"/>
    <s v="исправлено"/>
  </r>
  <r>
    <n v="14"/>
    <s v="NWR-46"/>
    <s v="Пояснение_от_21042026(1).pdf"/>
    <x v="2"/>
    <s v="explanatory_note"/>
    <b v="1"/>
    <x v="2"/>
    <x v="0"/>
    <x v="1"/>
    <s v="Всё корректно."/>
    <m/>
  </r>
  <r>
    <n v="15"/>
    <s v="NWR-47"/>
    <s v="VTB_BankStatement_some_accounts_01.01.2026-31.01.2026_71608_additional_filter.pdf"/>
    <x v="0"/>
    <s v="other"/>
    <b v="0"/>
    <x v="0"/>
    <x v="0"/>
    <x v="0"/>
    <s v="Должна классифицироваться, поправить алгоритм"/>
    <m/>
  </r>
  <r>
    <n v="15"/>
    <s v="NWR-47"/>
    <s v="ПСН_матина_2025_3.pdf"/>
    <x v="1"/>
    <s v="patent"/>
    <b v="1"/>
    <x v="1"/>
    <x v="0"/>
    <x v="1"/>
    <s v="Всё корректно."/>
    <m/>
  </r>
  <r>
    <n v="15"/>
    <s v="NWR-47"/>
    <s v="001.jpg"/>
    <x v="2"/>
    <s v="explanatory_note"/>
    <b v="1"/>
    <x v="2"/>
    <x v="0"/>
    <x v="1"/>
    <s v="Всё корректно."/>
    <m/>
  </r>
  <r>
    <n v="16"/>
    <s v="NWR-48"/>
    <s v="IMG_20260421_1131443838454130856824404.jpg"/>
    <x v="3"/>
    <s v="other"/>
    <b v="0"/>
    <x v="15"/>
    <x v="1"/>
    <x v="1"/>
    <s v="Не правильно указан тип документа."/>
    <m/>
  </r>
  <r>
    <n v="16"/>
    <s v="NWR-48"/>
    <s v="IMG_20260421_113223443727870416881062.jpg"/>
    <x v="0"/>
    <s v="other"/>
    <b v="0"/>
    <x v="16"/>
    <x v="1"/>
    <x v="1"/>
    <s v="Не правильно указан тип документа, плохое качество"/>
    <m/>
  </r>
  <r>
    <n v="16"/>
    <s v="NWR-48"/>
    <s v="IMG_20260421_1132411903660259320353903.jpg"/>
    <x v="0"/>
    <s v="other"/>
    <b v="0"/>
    <x v="16"/>
    <x v="1"/>
    <x v="1"/>
    <s v="Не правильно указан тип документа, плохое качество"/>
    <m/>
  </r>
  <r>
    <n v="16"/>
    <s v="NWR-48"/>
    <s v="IMG_20260421_1132488631474415844664341.jpg"/>
    <x v="0"/>
    <s v="other"/>
    <b v="0"/>
    <x v="16"/>
    <x v="1"/>
    <x v="1"/>
    <s v="Не правильно указан тип документа, плохое качество"/>
    <m/>
  </r>
  <r>
    <n v="16"/>
    <s v="NWR-48"/>
    <s v="IMG_20260421_1132561364630175643485507.jpg"/>
    <x v="0"/>
    <s v="other"/>
    <b v="0"/>
    <x v="16"/>
    <x v="1"/>
    <x v="1"/>
    <s v="Не правильно указан тип документа, плохое качество"/>
    <m/>
  </r>
  <r>
    <n v="16"/>
    <s v="NWR-48"/>
    <s v="IMG_20260421_1133033537169721876086973.jpg"/>
    <x v="0"/>
    <s v="other"/>
    <b v="0"/>
    <x v="16"/>
    <x v="1"/>
    <x v="1"/>
    <s v="Не правильно указан тип документа, плохое качество"/>
    <m/>
  </r>
  <r>
    <n v="16"/>
    <s v="NWR-48"/>
    <s v="IMG_20260421_1133127860452494855737543.jpg"/>
    <x v="0"/>
    <s v="other"/>
    <b v="0"/>
    <x v="16"/>
    <x v="1"/>
    <x v="1"/>
    <s v="Не правильно указан тип документа, плохое качество"/>
    <m/>
  </r>
  <r>
    <n v="16"/>
    <s v="NWR-48"/>
    <s v="IMG_20260421_1136416882238795731784746.jpg"/>
    <x v="2"/>
    <s v="other"/>
    <b v="0"/>
    <x v="7"/>
    <x v="1"/>
    <x v="1"/>
    <s v="Нет ключевых слов, мало текста"/>
    <m/>
  </r>
  <r>
    <n v="17"/>
    <s v="NWR-49"/>
    <s v="ВЫПИСКА_ПО_СЧЕТУ_С_12.01-20.04.26Г..pdf"/>
    <x v="0"/>
    <s v="other"/>
    <b v="0"/>
    <x v="0"/>
    <x v="0"/>
    <x v="0"/>
    <s v="Должна классифицироваться, поправить алгоритм"/>
    <m/>
  </r>
  <r>
    <n v="17"/>
    <s v="NWR-49"/>
    <s v="Патент.pdf"/>
    <x v="1"/>
    <s v="patent"/>
    <b v="1"/>
    <x v="1"/>
    <x v="0"/>
    <x v="0"/>
    <s v="Поправим обработку будущей даты"/>
    <s v="исправлено"/>
  </r>
  <r>
    <n v="17"/>
    <s v="NWR-49"/>
    <s v="Пояснительна_записка.pdf"/>
    <x v="2"/>
    <s v="explanatory_note"/>
    <b v="1"/>
    <x v="2"/>
    <x v="0"/>
    <x v="1"/>
    <s v="Всё корректно."/>
    <m/>
  </r>
  <r>
    <n v="18"/>
    <s v="NWR-50"/>
    <s v="Выписка_по_счёту_№_40802_810_1_6740_0432501_c_01.01.2026_по_31.03.2026(1).pdf"/>
    <x v="0"/>
    <s v="extended_acc_statement_12_months"/>
    <b v="1"/>
    <x v="0"/>
    <x v="0"/>
    <x v="1"/>
    <s v="Всё корректно."/>
    <m/>
  </r>
  <r>
    <n v="18"/>
    <s v="NWR-50"/>
    <s v="138788483.192810359046858676.1.2.pdf"/>
    <x v="1"/>
    <s v="other"/>
    <b v="0"/>
    <x v="17"/>
    <x v="1"/>
    <x v="1"/>
    <s v="Не правильно указан тип документа."/>
    <m/>
  </r>
  <r>
    <n v="18"/>
    <s v="NWR-50"/>
    <s v="Пояснительная.pdf"/>
    <x v="2"/>
    <s v="other"/>
    <b v="0"/>
    <x v="2"/>
    <x v="0"/>
    <x v="0"/>
    <s v="Должна классифицироваться, поправить алгоритм"/>
    <m/>
  </r>
  <r>
    <n v="19"/>
    <s v="NWR-53"/>
    <s v="Screenshot_20260420-114309.png"/>
    <x v="4"/>
    <s v="other"/>
    <b v="0"/>
    <x v="18"/>
    <x v="1"/>
    <x v="1"/>
    <s v="Не правильно указан тип документа."/>
    <m/>
  </r>
  <r>
    <n v="19"/>
    <s v="NWR-53"/>
    <s v="Screenshot_20260422-134147.png"/>
    <x v="5"/>
    <s v="other"/>
    <b v="0"/>
    <x v="19"/>
    <x v="1"/>
    <x v="1"/>
    <s v="Не правильно указан тип документа."/>
    <m/>
  </r>
  <r>
    <n v="19"/>
    <s v="NWR-53"/>
    <s v="Screenshot_20260422-134131.png"/>
    <x v="5"/>
    <s v="other"/>
    <b v="0"/>
    <x v="20"/>
    <x v="1"/>
    <x v="1"/>
    <s v="Не правильно указан тип документа."/>
    <m/>
  </r>
  <r>
    <n v="19"/>
    <s v="NWR-53"/>
    <s v="Screenshot_20260422-134318.png"/>
    <x v="6"/>
    <s v="other"/>
    <b v="0"/>
    <x v="8"/>
    <x v="0"/>
    <x v="2"/>
    <s v="Должна классифицироваться???"/>
    <m/>
  </r>
  <r>
    <m/>
    <s v="01_019db373-f6e4-6bec-b7ba-b2da49e126f6"/>
    <s v="Screenshot_20260422-110547.png"/>
    <x v="3"/>
    <s v="other"/>
    <b v="0"/>
    <x v="21"/>
    <x v="1"/>
    <x v="1"/>
    <s v="Не правильно указан тип документа."/>
    <m/>
  </r>
  <r>
    <m/>
    <s v="01_019db373-f6e4-6bec-b7ba-b2da49e126f6"/>
    <s v="Screenshot_20260422-111118.png"/>
    <x v="0"/>
    <s v="other"/>
    <b v="0"/>
    <x v="21"/>
    <x v="1"/>
    <x v="1"/>
    <s v="Не правильно указан тип документа."/>
    <m/>
  </r>
  <r>
    <m/>
    <s v="01_019db373-f6e4-6bec-b7ba-b2da49e126f6"/>
    <s v="IMG_20260422_111733.jpg"/>
    <x v="2"/>
    <s v="other"/>
    <b v="0"/>
    <x v="5"/>
    <x v="1"/>
    <x v="1"/>
    <s v="Рукописная"/>
    <m/>
  </r>
  <r>
    <m/>
    <s v="02_019dba0f-b38f-5e99-a2b2-2cf7c0d27d7d"/>
    <s v="Notes_260423_211548.pdf"/>
    <x v="2"/>
    <s v="explanatory_note"/>
    <b v="1"/>
    <x v="7"/>
    <x v="1"/>
    <x v="1"/>
    <s v="Нет ключевых слов, мало текста"/>
    <m/>
  </r>
  <r>
    <m/>
    <s v="02_019dba0f-b38f-5e99-a2b2-2cf7c0d27d7d"/>
    <s v="Screenshot_20260423_210232_Chrome.jpg"/>
    <x v="1"/>
    <s v="other"/>
    <b v="0"/>
    <x v="22"/>
    <x v="1"/>
    <x v="2"/>
    <s v="не по форме КНД???"/>
    <m/>
  </r>
  <r>
    <m/>
    <s v="02_019dba0f-b38f-5e99-a2b2-2cf7c0d27d7d"/>
    <s v="Выписка_40802810820000011414_01.02.2026–23.04.2026.pdf"/>
    <x v="0"/>
    <s v="extended_acc_statement_12_months"/>
    <b v="1"/>
    <x v="0"/>
    <x v="0"/>
    <x v="1"/>
    <s v="Всё корректно."/>
    <m/>
  </r>
  <r>
    <m/>
    <s v="03_019dba6d-9b3d-2d37-786b-24c97ee5a143"/>
    <s v="40802810120000921560_044525104_(24.01.2026_-_23.04.2026).pdf"/>
    <x v="0"/>
    <s v="extended_acc_statement_12_months"/>
    <b v="1"/>
    <x v="0"/>
    <x v="0"/>
    <x v="1"/>
    <s v="Всё корректно."/>
    <m/>
  </r>
  <r>
    <m/>
    <s v="03_019dba6d-9b3d-2d37-786b-24c97ee5a143"/>
    <s v="1121021_1500_151302730360_31441164-331a-4065-af8e-5c1894a3f97c_20260317_31441164-331a-4065-af8e-5c1894a3f97c.pdf"/>
    <x v="1"/>
    <s v="patent"/>
    <b v="1"/>
    <x v="1"/>
    <x v="0"/>
    <x v="1"/>
    <s v="Всё корректно."/>
    <m/>
  </r>
  <r>
    <m/>
    <s v="03_019dba6d-9b3d-2d37-786b-24c97ee5a143"/>
    <s v="1774007521791.png"/>
    <x v="2"/>
    <s v="explanatory_note"/>
    <b v="1"/>
    <x v="23"/>
    <x v="1"/>
    <x v="0"/>
    <s v="Ложная классификация, нужно поправить"/>
    <m/>
  </r>
  <r>
    <m/>
    <s v="03_019dba6d-9b3d-2d37-786b-24c97ee5a143"/>
    <s v="1776949081117.png"/>
    <x v="2"/>
    <s v="explanatory_note"/>
    <b v="1"/>
    <x v="2"/>
    <x v="0"/>
    <x v="1"/>
    <s v="Всё корректно."/>
    <m/>
  </r>
  <r>
    <m/>
    <s v="04_019dbf84-9185-a49a-abf0-3065bf4c67d7"/>
    <s v="IMG_6581.png"/>
    <x v="4"/>
    <s v="other"/>
    <b v="0"/>
    <x v="24"/>
    <x v="1"/>
    <x v="1"/>
    <s v="Не правильно указан тип документа."/>
    <m/>
  </r>
  <r>
    <m/>
    <s v="04_019dbf84-9185-a49a-abf0-3065bf4c67d7"/>
    <s v="IMG_6585.jpeg.jpg"/>
    <x v="5"/>
    <s v="other"/>
    <b v="0"/>
    <x v="7"/>
    <x v="1"/>
    <x v="1"/>
    <s v="Нет ключевых слов, мало текста"/>
    <m/>
  </r>
  <r>
    <m/>
    <s v="04_019dbf84-9185-a49a-abf0-3065bf4c67d7"/>
    <s v="IMG_6583.png"/>
    <x v="6"/>
    <s v="other"/>
    <b v="0"/>
    <x v="8"/>
    <x v="0"/>
    <x v="2"/>
    <s v="Должна классифицироваться???"/>
    <m/>
  </r>
  <r>
    <m/>
    <s v="05_019dca36-38b0-624f-cb42-c46e72c4e3aa"/>
    <s v="Выписка_по_нескольким_счетам_01.01.2026–26.04.2026.pdf"/>
    <x v="0"/>
    <s v="extended_acc_statement_12_months"/>
    <b v="1"/>
    <x v="0"/>
    <x v="0"/>
    <x v="1"/>
    <s v="Всё корректно."/>
    <m/>
  </r>
  <r>
    <m/>
    <s v="05_019dca36-38b0-624f-cb42-c46e72c4e3aa"/>
    <s v="патент_сергеева_0502_по_310326.pdf"/>
    <x v="1"/>
    <s v="patent"/>
    <b v="1"/>
    <x v="1"/>
    <x v="0"/>
    <x v="1"/>
    <s v="Всё корректно."/>
    <m/>
  </r>
  <r>
    <m/>
    <s v="05_019dca36-38b0-624f-cb42-c46e72c4e3aa"/>
    <s v="выписка_МТС_ИП_сергеева_2026.pdf"/>
    <x v="2"/>
    <s v="other"/>
    <b v="0"/>
    <x v="25"/>
    <x v="1"/>
    <x v="1"/>
    <s v="Не правильно указан тип документа."/>
    <m/>
  </r>
  <r>
    <m/>
    <s v="06_019dcaa0-ceca-ee42-62e1-b60bfb9916e6"/>
    <s v="image.jpg"/>
    <x v="0"/>
    <s v="other"/>
    <b v="0"/>
    <x v="22"/>
    <x v="1"/>
    <x v="1"/>
    <s v="Не правильно указан тип документа."/>
    <m/>
  </r>
  <r>
    <m/>
    <s v="06_019dcaa0-ceca-ee42-62e1-b60bfb9916e6"/>
    <s v="image2.jpg"/>
    <x v="1"/>
    <s v="other"/>
    <b v="0"/>
    <x v="26"/>
    <x v="1"/>
    <x v="1"/>
    <s v="Не правильно указан тип документа."/>
    <m/>
  </r>
  <r>
    <m/>
    <s v="06_019dcaa0-ceca-ee42-62e1-b60bfb9916e6"/>
    <s v="image3.jpg"/>
    <x v="1"/>
    <s v="other"/>
    <b v="0"/>
    <x v="27"/>
    <x v="1"/>
    <x v="1"/>
    <s v="Не правильно указан тип документа."/>
    <m/>
  </r>
  <r>
    <m/>
    <s v="06_019dcaa0-ceca-ee42-62e1-b60bfb9916e6"/>
    <s v="image4.jpg"/>
    <x v="1"/>
    <s v="other"/>
    <b v="0"/>
    <x v="28"/>
    <x v="1"/>
    <x v="1"/>
    <s v="Не правильно указан тип документа."/>
    <m/>
  </r>
  <r>
    <m/>
    <s v="06_019dcaa0-ceca-ee42-62e1-b60bfb9916e6"/>
    <s v="image5.jpg"/>
    <x v="2"/>
    <s v="other"/>
    <b v="0"/>
    <x v="17"/>
    <x v="1"/>
    <x v="1"/>
    <s v="Не правильно указан тип документа."/>
    <m/>
  </r>
  <r>
    <m/>
    <s v="06_019dcaa0-ceca-ee42-62e1-b60bfb9916e6"/>
    <s v="image6.jpg"/>
    <x v="2"/>
    <s v="other"/>
    <b v="0"/>
    <x v="17"/>
    <x v="1"/>
    <x v="1"/>
    <s v="Не правильно указан тип документа."/>
    <m/>
  </r>
  <r>
    <m/>
    <s v="06_019dcaa0-ceca-ee42-62e1-b60bfb9916e6"/>
    <s v="image7.jpg"/>
    <x v="2"/>
    <s v="other"/>
    <b v="0"/>
    <x v="29"/>
    <x v="1"/>
    <x v="1"/>
    <s v="Не правильно указан тип документа."/>
    <m/>
  </r>
  <r>
    <m/>
    <s v="07_019dcfe4-94b7-eade-06d1-0d7fb5f9d1d4"/>
    <s v="Estado_de_cuenta_-_Enero_2026.pdf"/>
    <x v="4"/>
    <s v="other"/>
    <b v="0"/>
    <x v="30"/>
    <x v="1"/>
    <x v="1"/>
    <s v="Не правильно указан тип документа."/>
    <m/>
  </r>
  <r>
    <m/>
    <s v="07_019dcfe4-94b7-eade-06d1-0d7fb5f9d1d4"/>
    <s v="Estado_de_cuenta_-_Marzo_2026.pdf"/>
    <x v="4"/>
    <s v="other"/>
    <b v="0"/>
    <x v="30"/>
    <x v="1"/>
    <x v="1"/>
    <s v="Не правильно указан тип документа."/>
    <m/>
  </r>
  <r>
    <m/>
    <s v="07_019dcfe4-94b7-eade-06d1-0d7fb5f9d1d4"/>
    <s v="Estado_de_cuenta_-_Febrero_2026.pdf"/>
    <x v="4"/>
    <s v="other"/>
    <b v="0"/>
    <x v="30"/>
    <x v="1"/>
    <x v="1"/>
    <s v="Не правильно указан тип документа."/>
    <m/>
  </r>
  <r>
    <m/>
    <s v="07_019dcfe4-94b7-eade-06d1-0d7fb5f9d1d4"/>
    <s v="Пояснительная_записка_о_целях_операций_по_счетам.pdf"/>
    <x v="5"/>
    <s v="other"/>
    <b v="0"/>
    <x v="31"/>
    <x v="0"/>
    <x v="0"/>
    <s v="Должна классифицироваться, поправить алгоритм"/>
    <m/>
  </r>
  <r>
    <m/>
    <s v="07_019dcfe4-94b7-eade-06d1-0d7fb5f9d1d4"/>
    <s v="Скриншот_«Профиля».pdf"/>
    <x v="6"/>
    <s v="other"/>
    <b v="0"/>
    <x v="8"/>
    <x v="0"/>
    <x v="2"/>
    <s v="Должна классифицироваться???"/>
    <m/>
  </r>
  <r>
    <m/>
    <s v="08_019dd049-43c9-a8df-ea02-f8a202fd9875"/>
    <s v="IMG_1960.png"/>
    <x v="4"/>
    <s v="other"/>
    <b v="0"/>
    <x v="32"/>
    <x v="1"/>
    <x v="1"/>
    <s v="Не правильно указан тип документа."/>
    <m/>
  </r>
  <r>
    <m/>
    <s v="08_019dd049-43c9-a8df-ea02-f8a202fd9875"/>
    <s v="IMG_1995.png"/>
    <x v="5"/>
    <s v="other"/>
    <b v="0"/>
    <x v="31"/>
    <x v="0"/>
    <x v="0"/>
    <s v="Должна классифицироваться, поправить алгоритм"/>
    <m/>
  </r>
  <r>
    <m/>
    <s v="08_019dd049-43c9-a8df-ea02-f8a202fd9875"/>
    <s v="IMG_1952.png"/>
    <x v="6"/>
    <s v="other"/>
    <b v="0"/>
    <x v="8"/>
    <x v="0"/>
    <x v="2"/>
    <s v="Должна классифицироваться???"/>
    <m/>
  </r>
  <r>
    <m/>
    <s v="08_019dd049-43c9-a8df-ea02-f8a202fd9875"/>
    <s v="IMG_1956.png"/>
    <x v="6"/>
    <s v="other"/>
    <b v="0"/>
    <x v="8"/>
    <x v="0"/>
    <x v="2"/>
    <s v="Должна классифицироваться???"/>
    <m/>
  </r>
  <r>
    <m/>
    <s v="08_019dd049-43c9-a8df-ea02-f8a202fd9875"/>
    <s v="IMG_1957.png"/>
    <x v="6"/>
    <s v="other"/>
    <b v="0"/>
    <x v="8"/>
    <x v="0"/>
    <x v="2"/>
    <s v="Должна классифицироваться???"/>
    <m/>
  </r>
  <r>
    <m/>
    <s v="08_019dd049-43c9-a8df-ea02-f8a202fd9875"/>
    <s v="IMG_1959.png"/>
    <x v="6"/>
    <s v="other"/>
    <b v="0"/>
    <x v="8"/>
    <x v="0"/>
    <x v="2"/>
    <s v="Должна классифицироваться???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7ACED-A0CF-42BB-8485-5CA87E475EC2}" name="Сводная таблица1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Документ">
  <location ref="A9:B48" firstHeaderRow="1" firstDataRow="1" firstDataCol="1" rowPageCount="1" colPageCount="1"/>
  <pivotFields count="11">
    <pivotField showAll="0"/>
    <pivotField showAll="0"/>
    <pivotField showAll="0"/>
    <pivotField axis="axisRow" dataField="1" showAll="0" sortType="descending">
      <items count="8">
        <item x="4"/>
        <item x="2"/>
        <item x="5"/>
        <item x="0"/>
        <item x="1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descending">
      <items count="35">
        <item x="2"/>
        <item x="31"/>
        <item x="0"/>
        <item x="1"/>
        <item x="8"/>
        <item x="11"/>
        <item x="13"/>
        <item x="25"/>
        <item x="9"/>
        <item x="4"/>
        <item x="23"/>
        <item x="28"/>
        <item x="21"/>
        <item x="16"/>
        <item x="14"/>
        <item x="26"/>
        <item x="22"/>
        <item x="3"/>
        <item m="1" x="33"/>
        <item x="24"/>
        <item x="6"/>
        <item x="19"/>
        <item x="32"/>
        <item x="18"/>
        <item x="20"/>
        <item x="30"/>
        <item x="17"/>
        <item x="10"/>
        <item x="15"/>
        <item x="29"/>
        <item x="27"/>
        <item x="12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/>
  </pivotFields>
  <rowFields count="2">
    <field x="3"/>
    <field x="6"/>
  </rowFields>
  <rowItems count="39">
    <i>
      <x v="1"/>
    </i>
    <i r="1">
      <x v="32"/>
    </i>
    <i r="1">
      <x v="33"/>
    </i>
    <i r="1">
      <x v="26"/>
    </i>
    <i r="1">
      <x v="10"/>
    </i>
    <i r="1">
      <x v="7"/>
    </i>
    <i r="1">
      <x v="6"/>
    </i>
    <i r="1">
      <x v="29"/>
    </i>
    <i>
      <x v="3"/>
    </i>
    <i r="1">
      <x v="13"/>
    </i>
    <i r="1">
      <x v="31"/>
    </i>
    <i r="1">
      <x v="16"/>
    </i>
    <i r="1">
      <x v="12"/>
    </i>
    <i r="1">
      <x v="9"/>
    </i>
    <i>
      <x v="4"/>
    </i>
    <i r="1">
      <x v="8"/>
    </i>
    <i r="1">
      <x v="26"/>
    </i>
    <i r="1">
      <x v="16"/>
    </i>
    <i r="1">
      <x v="11"/>
    </i>
    <i r="1">
      <x v="30"/>
    </i>
    <i r="1">
      <x v="14"/>
    </i>
    <i r="1">
      <x v="15"/>
    </i>
    <i>
      <x/>
    </i>
    <i r="1">
      <x v="25"/>
    </i>
    <i r="1">
      <x v="19"/>
    </i>
    <i r="1">
      <x v="23"/>
    </i>
    <i r="1">
      <x v="20"/>
    </i>
    <i r="1">
      <x v="22"/>
    </i>
    <i>
      <x v="6"/>
    </i>
    <i r="1">
      <x v="27"/>
    </i>
    <i r="1">
      <x v="6"/>
    </i>
    <i r="1">
      <x v="28"/>
    </i>
    <i r="1">
      <x v="12"/>
    </i>
    <i r="1">
      <x v="17"/>
    </i>
    <i>
      <x v="2"/>
    </i>
    <i r="1">
      <x v="33"/>
    </i>
    <i r="1">
      <x v="21"/>
    </i>
    <i r="1">
      <x v="24"/>
    </i>
    <i t="grand">
      <x/>
    </i>
  </rowItems>
  <colItems count="1">
    <i/>
  </colItems>
  <pageFields count="1">
    <pageField fld="7" item="0" hier="-1"/>
  </pageFields>
  <dataFields count="1">
    <dataField name="Количество ошибок клиента" fld="3" subtotal="count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F5D90-E6D6-4545-BC47-12BC058C898C}" name="Сводная таблица2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Документ">
  <location ref="A12:B18" firstHeaderRow="1" firstDataRow="1" firstDataCol="1" rowPageCount="1" colPageCount="1"/>
  <pivotFields count="11">
    <pivotField showAll="0"/>
    <pivotField showAll="0"/>
    <pivotField dataField="1" showAll="0"/>
    <pivotField axis="axisRow" showAll="0" sortType="descending">
      <items count="8">
        <item x="4"/>
        <item x="2"/>
        <item x="5"/>
        <item x="0"/>
        <item x="1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 v="3"/>
    </i>
    <i>
      <x v="1"/>
    </i>
    <i>
      <x v="4"/>
    </i>
    <i>
      <x v="2"/>
    </i>
    <i>
      <x v="6"/>
    </i>
    <i t="grand">
      <x/>
    </i>
  </rowItems>
  <colItems count="1">
    <i/>
  </colItems>
  <pageFields count="1">
    <pageField fld="8" item="1" hier="-1"/>
  </pageFields>
  <dataFields count="1">
    <dataField name="Количество ошибок 1481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1"/>
  <dimension ref="A1:M87"/>
  <sheetViews>
    <sheetView tabSelected="1" topLeftCell="F1" workbookViewId="0">
      <selection activeCell="E28" sqref="E28"/>
    </sheetView>
  </sheetViews>
  <sheetFormatPr defaultColWidth="8.85546875" defaultRowHeight="15" x14ac:dyDescent="0.25"/>
  <cols>
    <col min="1" max="1" width="3.5703125" style="1" customWidth="1"/>
    <col min="2" max="2" width="7.85546875" style="1" customWidth="1"/>
    <col min="3" max="3" width="37.85546875" style="22" customWidth="1"/>
    <col min="4" max="4" width="25.85546875" style="1" customWidth="1"/>
    <col min="5" max="5" width="21.140625" style="1" customWidth="1"/>
    <col min="6" max="6" width="12.140625" style="1" customWidth="1"/>
    <col min="7" max="7" width="33.28515625" style="1" customWidth="1"/>
    <col min="8" max="8" width="18.5703125" style="1" customWidth="1"/>
    <col min="9" max="9" width="13" style="1" customWidth="1"/>
    <col min="10" max="10" width="32.28515625" style="1" customWidth="1"/>
    <col min="11" max="11" width="22.28515625" style="1" customWidth="1"/>
    <col min="12" max="13" width="8.85546875" style="1"/>
    <col min="14" max="14" width="60.5703125" style="1" customWidth="1"/>
    <col min="15" max="16384" width="8.85546875" style="1"/>
  </cols>
  <sheetData>
    <row r="1" spans="1:11" s="27" customFormat="1" ht="60" x14ac:dyDescent="0.25">
      <c r="A1" s="23" t="s">
        <v>2</v>
      </c>
      <c r="B1" s="23" t="s">
        <v>1</v>
      </c>
      <c r="C1" s="24" t="s">
        <v>6</v>
      </c>
      <c r="D1" s="23" t="s">
        <v>3</v>
      </c>
      <c r="E1" s="23" t="s">
        <v>4</v>
      </c>
      <c r="F1" s="23" t="s">
        <v>42</v>
      </c>
      <c r="G1" s="23" t="s">
        <v>13</v>
      </c>
      <c r="H1" s="23" t="s">
        <v>172</v>
      </c>
      <c r="I1" s="25" t="s">
        <v>173</v>
      </c>
      <c r="J1" s="25" t="s">
        <v>104</v>
      </c>
      <c r="K1" s="26" t="s">
        <v>102</v>
      </c>
    </row>
    <row r="2" spans="1:11" x14ac:dyDescent="0.25">
      <c r="A2" s="7">
        <v>5</v>
      </c>
      <c r="B2" s="7" t="s">
        <v>0</v>
      </c>
      <c r="C2" s="18" t="s">
        <v>28</v>
      </c>
      <c r="D2" s="7" t="s">
        <v>10</v>
      </c>
      <c r="E2" s="7" t="s">
        <v>54</v>
      </c>
      <c r="F2" s="7" t="b">
        <f t="shared" ref="F2:F46" si="0">D2=E2</f>
        <v>0</v>
      </c>
      <c r="G2" s="3" t="s">
        <v>10</v>
      </c>
      <c r="H2" s="2" t="b">
        <f>D2=G2</f>
        <v>1</v>
      </c>
      <c r="I2" s="17" t="s">
        <v>175</v>
      </c>
      <c r="J2" s="13" t="s">
        <v>55</v>
      </c>
      <c r="K2" s="2" t="s">
        <v>109</v>
      </c>
    </row>
    <row r="3" spans="1:11" x14ac:dyDescent="0.25">
      <c r="A3" s="7">
        <v>5</v>
      </c>
      <c r="B3" s="7" t="s">
        <v>0</v>
      </c>
      <c r="C3" s="18" t="s">
        <v>29</v>
      </c>
      <c r="D3" s="7" t="s">
        <v>10</v>
      </c>
      <c r="E3" s="7" t="s">
        <v>54</v>
      </c>
      <c r="F3" s="7" t="b">
        <f t="shared" si="0"/>
        <v>0</v>
      </c>
      <c r="G3" s="3" t="s">
        <v>10</v>
      </c>
      <c r="H3" s="2" t="b">
        <f t="shared" ref="H3:H66" si="1">D3=G3</f>
        <v>1</v>
      </c>
      <c r="I3" s="17" t="s">
        <v>175</v>
      </c>
      <c r="J3" s="13" t="s">
        <v>56</v>
      </c>
      <c r="K3" s="2" t="s">
        <v>109</v>
      </c>
    </row>
    <row r="4" spans="1:11" x14ac:dyDescent="0.25">
      <c r="A4" s="7">
        <v>5</v>
      </c>
      <c r="B4" s="7" t="s">
        <v>0</v>
      </c>
      <c r="C4" s="18" t="s">
        <v>30</v>
      </c>
      <c r="D4" s="7" t="s">
        <v>24</v>
      </c>
      <c r="E4" s="7" t="s">
        <v>54</v>
      </c>
      <c r="F4" s="7" t="b">
        <f t="shared" si="0"/>
        <v>0</v>
      </c>
      <c r="G4" s="3" t="s">
        <v>24</v>
      </c>
      <c r="H4" s="2" t="b">
        <f t="shared" si="1"/>
        <v>1</v>
      </c>
      <c r="I4" s="17" t="s">
        <v>175</v>
      </c>
      <c r="J4" s="13" t="s">
        <v>57</v>
      </c>
      <c r="K4" s="4" t="s">
        <v>109</v>
      </c>
    </row>
    <row r="5" spans="1:11" x14ac:dyDescent="0.25">
      <c r="A5" s="7">
        <v>5</v>
      </c>
      <c r="B5" s="7" t="s">
        <v>0</v>
      </c>
      <c r="C5" s="18" t="s">
        <v>31</v>
      </c>
      <c r="D5" s="7" t="s">
        <v>12</v>
      </c>
      <c r="E5" s="7" t="s">
        <v>54</v>
      </c>
      <c r="F5" s="7" t="b">
        <f t="shared" si="0"/>
        <v>0</v>
      </c>
      <c r="G5" s="3" t="s">
        <v>12</v>
      </c>
      <c r="H5" s="2" t="b">
        <f t="shared" si="1"/>
        <v>1</v>
      </c>
      <c r="I5" s="17" t="s">
        <v>175</v>
      </c>
      <c r="J5" s="13" t="s">
        <v>103</v>
      </c>
      <c r="K5" s="2" t="s">
        <v>109</v>
      </c>
    </row>
    <row r="6" spans="1:11" s="5" customFormat="1" x14ac:dyDescent="0.25">
      <c r="A6" s="2">
        <v>7</v>
      </c>
      <c r="B6" s="4" t="s">
        <v>26</v>
      </c>
      <c r="C6" s="19" t="s">
        <v>32</v>
      </c>
      <c r="D6" s="6" t="s">
        <v>8</v>
      </c>
      <c r="E6" s="4" t="s">
        <v>15</v>
      </c>
      <c r="F6" s="4" t="b">
        <f t="shared" si="0"/>
        <v>0</v>
      </c>
      <c r="G6" s="7" t="s">
        <v>44</v>
      </c>
      <c r="H6" s="2" t="b">
        <f t="shared" si="1"/>
        <v>0</v>
      </c>
      <c r="I6" s="17" t="s">
        <v>174</v>
      </c>
      <c r="J6" s="14" t="s">
        <v>45</v>
      </c>
      <c r="K6" s="4"/>
    </row>
    <row r="7" spans="1:11" s="5" customFormat="1" x14ac:dyDescent="0.25">
      <c r="A7" s="2">
        <v>7</v>
      </c>
      <c r="B7" s="4" t="s">
        <v>26</v>
      </c>
      <c r="C7" s="19" t="s">
        <v>33</v>
      </c>
      <c r="D7" s="6" t="s">
        <v>10</v>
      </c>
      <c r="E7" s="4" t="s">
        <v>15</v>
      </c>
      <c r="F7" s="4" t="b">
        <f t="shared" si="0"/>
        <v>0</v>
      </c>
      <c r="G7" s="7" t="s">
        <v>43</v>
      </c>
      <c r="H7" s="2" t="b">
        <f t="shared" si="1"/>
        <v>0</v>
      </c>
      <c r="I7" s="17" t="s">
        <v>174</v>
      </c>
      <c r="J7" s="14" t="s">
        <v>45</v>
      </c>
      <c r="K7" s="4"/>
    </row>
    <row r="8" spans="1:11" s="5" customFormat="1" x14ac:dyDescent="0.25">
      <c r="A8" s="2">
        <v>7</v>
      </c>
      <c r="B8" s="4" t="s">
        <v>26</v>
      </c>
      <c r="C8" s="19" t="s">
        <v>34</v>
      </c>
      <c r="D8" s="4" t="s">
        <v>12</v>
      </c>
      <c r="E8" s="4" t="s">
        <v>15</v>
      </c>
      <c r="F8" s="4" t="b">
        <f t="shared" si="0"/>
        <v>0</v>
      </c>
      <c r="G8" s="8" t="s">
        <v>183</v>
      </c>
      <c r="H8" s="2" t="b">
        <f t="shared" si="1"/>
        <v>0</v>
      </c>
      <c r="I8" s="17" t="s">
        <v>174</v>
      </c>
      <c r="J8" s="14" t="s">
        <v>124</v>
      </c>
      <c r="K8" s="4"/>
    </row>
    <row r="9" spans="1:11" x14ac:dyDescent="0.25">
      <c r="A9" s="2">
        <v>7</v>
      </c>
      <c r="B9" s="4" t="s">
        <v>26</v>
      </c>
      <c r="C9" s="20" t="s">
        <v>35</v>
      </c>
      <c r="D9" s="2" t="s">
        <v>12</v>
      </c>
      <c r="E9" s="4" t="s">
        <v>15</v>
      </c>
      <c r="F9" s="4" t="b">
        <f t="shared" si="0"/>
        <v>0</v>
      </c>
      <c r="G9" s="8" t="s">
        <v>183</v>
      </c>
      <c r="H9" s="2" t="b">
        <f t="shared" si="1"/>
        <v>0</v>
      </c>
      <c r="I9" s="17" t="s">
        <v>174</v>
      </c>
      <c r="J9" s="14" t="s">
        <v>124</v>
      </c>
      <c r="K9" s="2"/>
    </row>
    <row r="10" spans="1:11" x14ac:dyDescent="0.25">
      <c r="A10" s="2">
        <v>8</v>
      </c>
      <c r="B10" s="4" t="s">
        <v>27</v>
      </c>
      <c r="C10" s="20" t="s">
        <v>36</v>
      </c>
      <c r="D10" s="2" t="s">
        <v>39</v>
      </c>
      <c r="E10" s="4" t="s">
        <v>15</v>
      </c>
      <c r="F10" s="4" t="b">
        <f t="shared" si="0"/>
        <v>0</v>
      </c>
      <c r="G10" s="7" t="s">
        <v>46</v>
      </c>
      <c r="H10" s="2" t="b">
        <f t="shared" si="1"/>
        <v>0</v>
      </c>
      <c r="I10" s="17" t="s">
        <v>174</v>
      </c>
      <c r="J10" s="14" t="s">
        <v>45</v>
      </c>
      <c r="K10" s="2"/>
    </row>
    <row r="11" spans="1:11" x14ac:dyDescent="0.25">
      <c r="A11" s="2">
        <v>8</v>
      </c>
      <c r="B11" s="4" t="s">
        <v>27</v>
      </c>
      <c r="C11" s="20" t="s">
        <v>37</v>
      </c>
      <c r="D11" s="2" t="s">
        <v>41</v>
      </c>
      <c r="E11" s="4" t="s">
        <v>15</v>
      </c>
      <c r="F11" s="4" t="b">
        <f t="shared" si="0"/>
        <v>0</v>
      </c>
      <c r="G11" s="8" t="s">
        <v>184</v>
      </c>
      <c r="H11" s="2" t="b">
        <f t="shared" si="1"/>
        <v>0</v>
      </c>
      <c r="I11" s="17" t="s">
        <v>174</v>
      </c>
      <c r="J11" s="14" t="s">
        <v>125</v>
      </c>
      <c r="K11" s="2"/>
    </row>
    <row r="12" spans="1:11" x14ac:dyDescent="0.25">
      <c r="A12" s="2">
        <v>8</v>
      </c>
      <c r="B12" s="4" t="s">
        <v>27</v>
      </c>
      <c r="C12" s="20" t="s">
        <v>38</v>
      </c>
      <c r="D12" s="2" t="s">
        <v>40</v>
      </c>
      <c r="E12" s="4" t="s">
        <v>15</v>
      </c>
      <c r="F12" s="4" t="b">
        <f t="shared" si="0"/>
        <v>0</v>
      </c>
      <c r="G12" s="3" t="s">
        <v>40</v>
      </c>
      <c r="H12" s="2" t="b">
        <f t="shared" si="1"/>
        <v>1</v>
      </c>
      <c r="I12" s="17" t="s">
        <v>177</v>
      </c>
      <c r="J12" s="13" t="s">
        <v>165</v>
      </c>
      <c r="K12" s="2"/>
    </row>
    <row r="13" spans="1:11" ht="30" x14ac:dyDescent="0.25">
      <c r="A13" s="7">
        <v>9</v>
      </c>
      <c r="B13" s="7" t="s">
        <v>21</v>
      </c>
      <c r="C13" s="18" t="s">
        <v>22</v>
      </c>
      <c r="D13" s="7" t="s">
        <v>10</v>
      </c>
      <c r="E13" s="7" t="s">
        <v>54</v>
      </c>
      <c r="F13" s="7" t="b">
        <f t="shared" si="0"/>
        <v>0</v>
      </c>
      <c r="G13" s="3" t="s">
        <v>10</v>
      </c>
      <c r="H13" s="2" t="b">
        <f t="shared" si="1"/>
        <v>1</v>
      </c>
      <c r="I13" s="17" t="s">
        <v>175</v>
      </c>
      <c r="J13" s="15" t="s">
        <v>99</v>
      </c>
      <c r="K13" s="2" t="s">
        <v>123</v>
      </c>
    </row>
    <row r="14" spans="1:11" ht="13.9" customHeight="1" x14ac:dyDescent="0.25">
      <c r="A14" s="7">
        <v>9</v>
      </c>
      <c r="B14" s="7" t="s">
        <v>21</v>
      </c>
      <c r="C14" s="18" t="s">
        <v>23</v>
      </c>
      <c r="D14" s="7" t="s">
        <v>24</v>
      </c>
      <c r="E14" s="7" t="s">
        <v>54</v>
      </c>
      <c r="F14" s="7" t="b">
        <f t="shared" si="0"/>
        <v>0</v>
      </c>
      <c r="G14" s="8" t="s">
        <v>52</v>
      </c>
      <c r="H14" s="2" t="b">
        <f t="shared" si="1"/>
        <v>0</v>
      </c>
      <c r="I14" s="17" t="s">
        <v>175</v>
      </c>
      <c r="J14" s="15" t="s">
        <v>47</v>
      </c>
      <c r="K14" s="2" t="s">
        <v>123</v>
      </c>
    </row>
    <row r="15" spans="1:11" x14ac:dyDescent="0.25">
      <c r="A15" s="7">
        <v>9</v>
      </c>
      <c r="B15" s="7" t="s">
        <v>21</v>
      </c>
      <c r="C15" s="18" t="s">
        <v>25</v>
      </c>
      <c r="D15" s="7" t="s">
        <v>12</v>
      </c>
      <c r="E15" s="7" t="s">
        <v>54</v>
      </c>
      <c r="F15" s="7" t="b">
        <f t="shared" si="0"/>
        <v>0</v>
      </c>
      <c r="G15" s="3" t="s">
        <v>12</v>
      </c>
      <c r="H15" s="2" t="b">
        <f t="shared" si="1"/>
        <v>1</v>
      </c>
      <c r="I15" s="17" t="s">
        <v>175</v>
      </c>
      <c r="J15" s="12" t="s">
        <v>100</v>
      </c>
      <c r="K15" s="2" t="s">
        <v>123</v>
      </c>
    </row>
    <row r="16" spans="1:11" x14ac:dyDescent="0.25">
      <c r="A16" s="2">
        <v>10</v>
      </c>
      <c r="B16" s="4" t="s">
        <v>5</v>
      </c>
      <c r="C16" s="20" t="s">
        <v>7</v>
      </c>
      <c r="D16" s="2" t="s">
        <v>8</v>
      </c>
      <c r="E16" s="2" t="s">
        <v>15</v>
      </c>
      <c r="F16" s="4" t="b">
        <f t="shared" si="0"/>
        <v>0</v>
      </c>
      <c r="G16" s="7" t="s">
        <v>51</v>
      </c>
      <c r="H16" s="2" t="b">
        <f t="shared" si="1"/>
        <v>0</v>
      </c>
      <c r="I16" s="17" t="s">
        <v>174</v>
      </c>
      <c r="J16" s="14" t="s">
        <v>45</v>
      </c>
      <c r="K16" s="2"/>
    </row>
    <row r="17" spans="1:13" x14ac:dyDescent="0.25">
      <c r="A17" s="2">
        <v>10</v>
      </c>
      <c r="B17" s="4" t="s">
        <v>5</v>
      </c>
      <c r="C17" s="20" t="s">
        <v>14</v>
      </c>
      <c r="D17" s="2" t="s">
        <v>8</v>
      </c>
      <c r="E17" s="2" t="s">
        <v>15</v>
      </c>
      <c r="F17" s="4" t="b">
        <f t="shared" si="0"/>
        <v>0</v>
      </c>
      <c r="G17" s="7" t="s">
        <v>51</v>
      </c>
      <c r="H17" s="2" t="b">
        <f t="shared" si="1"/>
        <v>0</v>
      </c>
      <c r="I17" s="17" t="s">
        <v>174</v>
      </c>
      <c r="J17" s="14" t="s">
        <v>45</v>
      </c>
      <c r="K17" s="2"/>
    </row>
    <row r="18" spans="1:13" x14ac:dyDescent="0.25">
      <c r="A18" s="2">
        <v>10</v>
      </c>
      <c r="B18" s="4" t="s">
        <v>5</v>
      </c>
      <c r="C18" s="20" t="s">
        <v>9</v>
      </c>
      <c r="D18" s="2" t="s">
        <v>10</v>
      </c>
      <c r="E18" s="2" t="s">
        <v>10</v>
      </c>
      <c r="F18" s="4" t="b">
        <f t="shared" si="0"/>
        <v>1</v>
      </c>
      <c r="G18" s="3" t="s">
        <v>10</v>
      </c>
      <c r="H18" s="2" t="b">
        <f t="shared" si="1"/>
        <v>1</v>
      </c>
      <c r="I18" s="17" t="s">
        <v>174</v>
      </c>
      <c r="J18" s="9" t="s">
        <v>48</v>
      </c>
      <c r="K18" s="2"/>
    </row>
    <row r="19" spans="1:13" x14ac:dyDescent="0.25">
      <c r="A19" s="2">
        <v>10</v>
      </c>
      <c r="B19" s="4" t="s">
        <v>5</v>
      </c>
      <c r="C19" s="20" t="s">
        <v>11</v>
      </c>
      <c r="D19" s="2" t="s">
        <v>12</v>
      </c>
      <c r="E19" s="2" t="s">
        <v>12</v>
      </c>
      <c r="F19" s="4" t="b">
        <f t="shared" si="0"/>
        <v>1</v>
      </c>
      <c r="G19" s="3" t="s">
        <v>12</v>
      </c>
      <c r="H19" s="2" t="b">
        <f t="shared" si="1"/>
        <v>1</v>
      </c>
      <c r="I19" s="17" t="s">
        <v>174</v>
      </c>
      <c r="J19" s="14" t="s">
        <v>101</v>
      </c>
      <c r="K19" s="2"/>
    </row>
    <row r="20" spans="1:13" x14ac:dyDescent="0.25">
      <c r="A20" s="7">
        <v>11</v>
      </c>
      <c r="B20" s="7" t="s">
        <v>16</v>
      </c>
      <c r="C20" s="18" t="s">
        <v>17</v>
      </c>
      <c r="D20" s="7" t="s">
        <v>8</v>
      </c>
      <c r="E20" s="7" t="s">
        <v>54</v>
      </c>
      <c r="F20" s="7" t="b">
        <f t="shared" si="0"/>
        <v>0</v>
      </c>
      <c r="G20" s="3" t="s">
        <v>8</v>
      </c>
      <c r="H20" s="2" t="b">
        <f t="shared" si="1"/>
        <v>1</v>
      </c>
      <c r="I20" s="17" t="s">
        <v>175</v>
      </c>
      <c r="J20" s="13" t="s">
        <v>58</v>
      </c>
      <c r="K20" s="2" t="s">
        <v>109</v>
      </c>
    </row>
    <row r="21" spans="1:13" x14ac:dyDescent="0.25">
      <c r="A21" s="7">
        <v>11</v>
      </c>
      <c r="B21" s="7" t="s">
        <v>16</v>
      </c>
      <c r="C21" s="18" t="s">
        <v>18</v>
      </c>
      <c r="D21" s="7" t="s">
        <v>10</v>
      </c>
      <c r="E21" s="7" t="s">
        <v>54</v>
      </c>
      <c r="F21" s="7" t="b">
        <f t="shared" si="0"/>
        <v>0</v>
      </c>
      <c r="G21" s="7" t="s">
        <v>49</v>
      </c>
      <c r="H21" s="2" t="b">
        <f t="shared" si="1"/>
        <v>0</v>
      </c>
      <c r="I21" s="17" t="s">
        <v>175</v>
      </c>
      <c r="J21" s="13" t="s">
        <v>53</v>
      </c>
      <c r="K21" s="2" t="s">
        <v>109</v>
      </c>
    </row>
    <row r="22" spans="1:13" x14ac:dyDescent="0.25">
      <c r="A22" s="7">
        <v>11</v>
      </c>
      <c r="B22" s="7" t="s">
        <v>16</v>
      </c>
      <c r="C22" s="18" t="s">
        <v>19</v>
      </c>
      <c r="D22" s="7" t="s">
        <v>10</v>
      </c>
      <c r="E22" s="7" t="s">
        <v>54</v>
      </c>
      <c r="F22" s="7" t="b">
        <f t="shared" si="0"/>
        <v>0</v>
      </c>
      <c r="G22" s="3" t="s">
        <v>10</v>
      </c>
      <c r="H22" s="2" t="b">
        <f t="shared" si="1"/>
        <v>1</v>
      </c>
      <c r="I22" s="17" t="s">
        <v>175</v>
      </c>
      <c r="J22" s="13" t="s">
        <v>59</v>
      </c>
      <c r="K22" s="2" t="s">
        <v>109</v>
      </c>
    </row>
    <row r="23" spans="1:13" x14ac:dyDescent="0.25">
      <c r="A23" s="7">
        <v>11</v>
      </c>
      <c r="B23" s="7" t="s">
        <v>16</v>
      </c>
      <c r="C23" s="18" t="s">
        <v>20</v>
      </c>
      <c r="D23" s="7" t="s">
        <v>12</v>
      </c>
      <c r="E23" s="7" t="s">
        <v>54</v>
      </c>
      <c r="F23" s="7" t="b">
        <f t="shared" si="0"/>
        <v>0</v>
      </c>
      <c r="G23" s="3" t="s">
        <v>12</v>
      </c>
      <c r="H23" s="2" t="b">
        <f t="shared" si="1"/>
        <v>1</v>
      </c>
      <c r="I23" s="17" t="s">
        <v>175</v>
      </c>
      <c r="J23" s="13" t="s">
        <v>60</v>
      </c>
      <c r="K23" s="2" t="s">
        <v>109</v>
      </c>
    </row>
    <row r="24" spans="1:13" x14ac:dyDescent="0.25">
      <c r="A24" s="2">
        <v>12</v>
      </c>
      <c r="B24" s="2" t="s">
        <v>61</v>
      </c>
      <c r="C24" s="20" t="s">
        <v>69</v>
      </c>
      <c r="D24" s="2" t="s">
        <v>8</v>
      </c>
      <c r="E24" s="2" t="s">
        <v>15</v>
      </c>
      <c r="F24" s="2" t="b">
        <f t="shared" si="0"/>
        <v>0</v>
      </c>
      <c r="G24" s="7" t="s">
        <v>50</v>
      </c>
      <c r="H24" s="2" t="b">
        <f t="shared" si="1"/>
        <v>0</v>
      </c>
      <c r="I24" s="17" t="s">
        <v>174</v>
      </c>
      <c r="J24" s="16" t="s">
        <v>45</v>
      </c>
      <c r="K24" s="2"/>
    </row>
    <row r="25" spans="1:13" x14ac:dyDescent="0.25">
      <c r="A25" s="2">
        <v>12</v>
      </c>
      <c r="B25" s="2" t="s">
        <v>61</v>
      </c>
      <c r="C25" s="20" t="s">
        <v>69</v>
      </c>
      <c r="D25" s="2" t="s">
        <v>10</v>
      </c>
      <c r="E25" s="2" t="s">
        <v>15</v>
      </c>
      <c r="F25" s="2" t="b">
        <f t="shared" si="0"/>
        <v>0</v>
      </c>
      <c r="G25" s="3" t="s">
        <v>10</v>
      </c>
      <c r="H25" s="2" t="b">
        <f t="shared" si="1"/>
        <v>1</v>
      </c>
      <c r="I25" s="17" t="s">
        <v>175</v>
      </c>
      <c r="J25" s="13" t="s">
        <v>97</v>
      </c>
      <c r="K25" s="2"/>
    </row>
    <row r="26" spans="1:13" x14ac:dyDescent="0.25">
      <c r="A26" s="2">
        <v>12</v>
      </c>
      <c r="B26" s="2" t="s">
        <v>61</v>
      </c>
      <c r="C26" s="20" t="s">
        <v>69</v>
      </c>
      <c r="D26" s="2" t="s">
        <v>12</v>
      </c>
      <c r="E26" s="2" t="s">
        <v>15</v>
      </c>
      <c r="F26" s="2" t="b">
        <f t="shared" si="0"/>
        <v>0</v>
      </c>
      <c r="G26" s="7" t="s">
        <v>50</v>
      </c>
      <c r="H26" s="2" t="b">
        <f t="shared" si="1"/>
        <v>0</v>
      </c>
      <c r="I26" s="17" t="s">
        <v>174</v>
      </c>
      <c r="J26" s="16" t="s">
        <v>45</v>
      </c>
      <c r="K26" s="2"/>
    </row>
    <row r="27" spans="1:13" x14ac:dyDescent="0.25">
      <c r="A27" s="2">
        <v>13</v>
      </c>
      <c r="B27" s="2" t="s">
        <v>62</v>
      </c>
      <c r="C27" s="20" t="s">
        <v>70</v>
      </c>
      <c r="D27" s="2" t="s">
        <v>10</v>
      </c>
      <c r="E27" s="2" t="s">
        <v>10</v>
      </c>
      <c r="F27" s="2" t="b">
        <f t="shared" si="0"/>
        <v>1</v>
      </c>
      <c r="G27" s="3" t="s">
        <v>10</v>
      </c>
      <c r="H27" s="2" t="b">
        <f t="shared" si="1"/>
        <v>1</v>
      </c>
      <c r="I27" s="17" t="s">
        <v>174</v>
      </c>
      <c r="J27" s="9" t="s">
        <v>48</v>
      </c>
      <c r="K27" s="2"/>
    </row>
    <row r="28" spans="1:13" x14ac:dyDescent="0.25">
      <c r="A28" s="2">
        <v>13</v>
      </c>
      <c r="B28" s="2" t="s">
        <v>62</v>
      </c>
      <c r="C28" s="20" t="s">
        <v>71</v>
      </c>
      <c r="D28" s="2" t="s">
        <v>24</v>
      </c>
      <c r="E28" s="2" t="s">
        <v>15</v>
      </c>
      <c r="F28" s="2" t="b">
        <f t="shared" si="0"/>
        <v>0</v>
      </c>
      <c r="G28" s="7" t="s">
        <v>98</v>
      </c>
      <c r="H28" s="2" t="b">
        <f t="shared" si="1"/>
        <v>0</v>
      </c>
      <c r="I28" s="17" t="s">
        <v>174</v>
      </c>
      <c r="J28" s="16" t="s">
        <v>45</v>
      </c>
      <c r="K28" s="2"/>
    </row>
    <row r="29" spans="1:13" x14ac:dyDescent="0.25">
      <c r="A29" s="2">
        <v>13</v>
      </c>
      <c r="B29" s="2" t="s">
        <v>62</v>
      </c>
      <c r="C29" s="20" t="s">
        <v>72</v>
      </c>
      <c r="D29" s="2" t="s">
        <v>12</v>
      </c>
      <c r="E29" s="2" t="s">
        <v>15</v>
      </c>
      <c r="F29" s="2" t="b">
        <f t="shared" si="0"/>
        <v>0</v>
      </c>
      <c r="G29" s="8" t="s">
        <v>184</v>
      </c>
      <c r="H29" s="2" t="b">
        <f t="shared" si="1"/>
        <v>0</v>
      </c>
      <c r="I29" s="17" t="s">
        <v>174</v>
      </c>
      <c r="J29" s="14" t="s">
        <v>125</v>
      </c>
      <c r="K29" s="2"/>
    </row>
    <row r="30" spans="1:13" s="11" customFormat="1" x14ac:dyDescent="0.25">
      <c r="A30" s="10">
        <v>14</v>
      </c>
      <c r="B30" s="4" t="s">
        <v>63</v>
      </c>
      <c r="C30" s="19" t="s">
        <v>73</v>
      </c>
      <c r="D30" s="4" t="s">
        <v>10</v>
      </c>
      <c r="E30" s="4" t="s">
        <v>10</v>
      </c>
      <c r="F30" s="4" t="b">
        <f t="shared" si="0"/>
        <v>1</v>
      </c>
      <c r="G30" s="3" t="s">
        <v>10</v>
      </c>
      <c r="H30" s="2" t="b">
        <f t="shared" si="1"/>
        <v>1</v>
      </c>
      <c r="I30" s="17" t="s">
        <v>174</v>
      </c>
      <c r="J30" s="9" t="s">
        <v>48</v>
      </c>
      <c r="K30" s="4"/>
      <c r="L30" s="5"/>
      <c r="M30" s="5"/>
    </row>
    <row r="31" spans="1:13" s="11" customFormat="1" x14ac:dyDescent="0.25">
      <c r="A31" s="10">
        <v>14</v>
      </c>
      <c r="B31" s="4" t="s">
        <v>63</v>
      </c>
      <c r="C31" s="19" t="s">
        <v>74</v>
      </c>
      <c r="D31" s="4" t="s">
        <v>24</v>
      </c>
      <c r="E31" s="4" t="s">
        <v>24</v>
      </c>
      <c r="F31" s="4" t="b">
        <f t="shared" si="0"/>
        <v>1</v>
      </c>
      <c r="G31" s="3" t="s">
        <v>24</v>
      </c>
      <c r="H31" s="2" t="b">
        <f t="shared" si="1"/>
        <v>1</v>
      </c>
      <c r="I31" s="17" t="s">
        <v>175</v>
      </c>
      <c r="J31" s="13" t="s">
        <v>108</v>
      </c>
      <c r="K31" s="4" t="s">
        <v>109</v>
      </c>
      <c r="L31" s="5"/>
      <c r="M31" s="5"/>
    </row>
    <row r="32" spans="1:13" s="11" customFormat="1" x14ac:dyDescent="0.25">
      <c r="A32" s="10">
        <v>14</v>
      </c>
      <c r="B32" s="4" t="s">
        <v>63</v>
      </c>
      <c r="C32" s="19" t="s">
        <v>75</v>
      </c>
      <c r="D32" s="4" t="s">
        <v>12</v>
      </c>
      <c r="E32" s="4" t="s">
        <v>12</v>
      </c>
      <c r="F32" s="4" t="b">
        <f t="shared" si="0"/>
        <v>1</v>
      </c>
      <c r="G32" s="3" t="s">
        <v>12</v>
      </c>
      <c r="H32" s="2" t="b">
        <f t="shared" si="1"/>
        <v>1</v>
      </c>
      <c r="I32" s="17" t="s">
        <v>174</v>
      </c>
      <c r="J32" s="9" t="s">
        <v>48</v>
      </c>
      <c r="K32" s="4"/>
      <c r="L32" s="5"/>
      <c r="M32" s="5"/>
    </row>
    <row r="33" spans="1:13" x14ac:dyDescent="0.25">
      <c r="A33" s="2">
        <v>15</v>
      </c>
      <c r="B33" s="4" t="s">
        <v>64</v>
      </c>
      <c r="C33" s="19" t="s">
        <v>76</v>
      </c>
      <c r="D33" s="4" t="s">
        <v>10</v>
      </c>
      <c r="E33" s="4" t="s">
        <v>15</v>
      </c>
      <c r="F33" s="4" t="b">
        <f t="shared" si="0"/>
        <v>0</v>
      </c>
      <c r="G33" s="3" t="s">
        <v>10</v>
      </c>
      <c r="H33" s="2" t="b">
        <f t="shared" si="1"/>
        <v>1</v>
      </c>
      <c r="I33" s="17" t="s">
        <v>175</v>
      </c>
      <c r="J33" s="13" t="s">
        <v>97</v>
      </c>
      <c r="K33" s="4"/>
      <c r="L33" s="5"/>
      <c r="M33" s="5"/>
    </row>
    <row r="34" spans="1:13" s="11" customFormat="1" x14ac:dyDescent="0.25">
      <c r="A34" s="10">
        <v>15</v>
      </c>
      <c r="B34" s="4" t="s">
        <v>64</v>
      </c>
      <c r="C34" s="19" t="s">
        <v>77</v>
      </c>
      <c r="D34" s="4" t="s">
        <v>24</v>
      </c>
      <c r="E34" s="4" t="s">
        <v>24</v>
      </c>
      <c r="F34" s="4" t="b">
        <f t="shared" si="0"/>
        <v>1</v>
      </c>
      <c r="G34" s="3" t="s">
        <v>24</v>
      </c>
      <c r="H34" s="2" t="b">
        <f t="shared" si="1"/>
        <v>1</v>
      </c>
      <c r="I34" s="17" t="s">
        <v>174</v>
      </c>
      <c r="J34" s="3" t="s">
        <v>48</v>
      </c>
      <c r="K34" s="4"/>
      <c r="L34" s="5"/>
      <c r="M34" s="5"/>
    </row>
    <row r="35" spans="1:13" s="11" customFormat="1" x14ac:dyDescent="0.25">
      <c r="A35" s="10">
        <v>15</v>
      </c>
      <c r="B35" s="4" t="s">
        <v>64</v>
      </c>
      <c r="C35" s="19" t="s">
        <v>78</v>
      </c>
      <c r="D35" s="4" t="s">
        <v>12</v>
      </c>
      <c r="E35" s="4" t="s">
        <v>12</v>
      </c>
      <c r="F35" s="4" t="b">
        <f t="shared" si="0"/>
        <v>1</v>
      </c>
      <c r="G35" s="3" t="s">
        <v>12</v>
      </c>
      <c r="H35" s="2" t="b">
        <f t="shared" si="1"/>
        <v>1</v>
      </c>
      <c r="I35" s="17" t="s">
        <v>174</v>
      </c>
      <c r="J35" s="3" t="s">
        <v>48</v>
      </c>
      <c r="K35" s="4"/>
      <c r="L35" s="5"/>
      <c r="M35" s="5"/>
    </row>
    <row r="36" spans="1:13" x14ac:dyDescent="0.25">
      <c r="A36" s="2">
        <v>16</v>
      </c>
      <c r="B36" s="2" t="s">
        <v>65</v>
      </c>
      <c r="C36" s="20" t="s">
        <v>79</v>
      </c>
      <c r="D36" s="2" t="s">
        <v>8</v>
      </c>
      <c r="E36" s="2" t="s">
        <v>15</v>
      </c>
      <c r="F36" s="2" t="b">
        <f t="shared" si="0"/>
        <v>0</v>
      </c>
      <c r="G36" s="7" t="s">
        <v>105</v>
      </c>
      <c r="H36" s="2" t="b">
        <f t="shared" si="1"/>
        <v>0</v>
      </c>
      <c r="I36" s="17" t="s">
        <v>174</v>
      </c>
      <c r="J36" s="16" t="s">
        <v>45</v>
      </c>
      <c r="K36" s="2"/>
    </row>
    <row r="37" spans="1:13" x14ac:dyDescent="0.25">
      <c r="A37" s="2">
        <v>16</v>
      </c>
      <c r="B37" s="2" t="s">
        <v>65</v>
      </c>
      <c r="C37" s="20" t="s">
        <v>80</v>
      </c>
      <c r="D37" s="2" t="s">
        <v>10</v>
      </c>
      <c r="E37" s="2" t="s">
        <v>15</v>
      </c>
      <c r="F37" s="2" t="b">
        <f t="shared" si="0"/>
        <v>0</v>
      </c>
      <c r="G37" s="7" t="s">
        <v>106</v>
      </c>
      <c r="H37" s="2" t="b">
        <f t="shared" si="1"/>
        <v>0</v>
      </c>
      <c r="I37" s="17" t="s">
        <v>174</v>
      </c>
      <c r="J37" s="16" t="s">
        <v>107</v>
      </c>
      <c r="K37" s="2"/>
    </row>
    <row r="38" spans="1:13" x14ac:dyDescent="0.25">
      <c r="A38" s="2">
        <v>16</v>
      </c>
      <c r="B38" s="2" t="s">
        <v>65</v>
      </c>
      <c r="C38" s="21" t="s">
        <v>81</v>
      </c>
      <c r="D38" s="2" t="s">
        <v>10</v>
      </c>
      <c r="E38" s="2" t="s">
        <v>15</v>
      </c>
      <c r="F38" s="2" t="b">
        <f t="shared" si="0"/>
        <v>0</v>
      </c>
      <c r="G38" s="7" t="s">
        <v>106</v>
      </c>
      <c r="H38" s="2" t="b">
        <f t="shared" si="1"/>
        <v>0</v>
      </c>
      <c r="I38" s="17" t="s">
        <v>174</v>
      </c>
      <c r="J38" s="16" t="s">
        <v>107</v>
      </c>
      <c r="K38" s="2"/>
    </row>
    <row r="39" spans="1:13" x14ac:dyDescent="0.25">
      <c r="A39" s="2">
        <v>16</v>
      </c>
      <c r="B39" s="2" t="s">
        <v>65</v>
      </c>
      <c r="C39" s="20" t="s">
        <v>82</v>
      </c>
      <c r="D39" s="2" t="s">
        <v>10</v>
      </c>
      <c r="E39" s="2" t="s">
        <v>15</v>
      </c>
      <c r="F39" s="2" t="b">
        <f t="shared" si="0"/>
        <v>0</v>
      </c>
      <c r="G39" s="7" t="s">
        <v>106</v>
      </c>
      <c r="H39" s="2" t="b">
        <f t="shared" si="1"/>
        <v>0</v>
      </c>
      <c r="I39" s="17" t="s">
        <v>174</v>
      </c>
      <c r="J39" s="16" t="s">
        <v>107</v>
      </c>
      <c r="K39" s="2"/>
    </row>
    <row r="40" spans="1:13" x14ac:dyDescent="0.25">
      <c r="A40" s="2">
        <v>16</v>
      </c>
      <c r="B40" s="2" t="s">
        <v>65</v>
      </c>
      <c r="C40" s="20" t="s">
        <v>83</v>
      </c>
      <c r="D40" s="2" t="s">
        <v>10</v>
      </c>
      <c r="E40" s="2" t="s">
        <v>15</v>
      </c>
      <c r="F40" s="2" t="b">
        <f t="shared" si="0"/>
        <v>0</v>
      </c>
      <c r="G40" s="7" t="s">
        <v>106</v>
      </c>
      <c r="H40" s="2" t="b">
        <f t="shared" si="1"/>
        <v>0</v>
      </c>
      <c r="I40" s="17" t="s">
        <v>174</v>
      </c>
      <c r="J40" s="16" t="s">
        <v>107</v>
      </c>
      <c r="K40" s="2"/>
    </row>
    <row r="41" spans="1:13" x14ac:dyDescent="0.25">
      <c r="A41" s="2">
        <v>16</v>
      </c>
      <c r="B41" s="2" t="s">
        <v>65</v>
      </c>
      <c r="C41" s="20" t="s">
        <v>84</v>
      </c>
      <c r="D41" s="2" t="s">
        <v>10</v>
      </c>
      <c r="E41" s="2" t="s">
        <v>15</v>
      </c>
      <c r="F41" s="2" t="b">
        <f t="shared" si="0"/>
        <v>0</v>
      </c>
      <c r="G41" s="7" t="s">
        <v>106</v>
      </c>
      <c r="H41" s="2" t="b">
        <f t="shared" si="1"/>
        <v>0</v>
      </c>
      <c r="I41" s="17" t="s">
        <v>174</v>
      </c>
      <c r="J41" s="16" t="s">
        <v>107</v>
      </c>
      <c r="K41" s="2"/>
    </row>
    <row r="42" spans="1:13" x14ac:dyDescent="0.25">
      <c r="A42" s="2">
        <v>16</v>
      </c>
      <c r="B42" s="2" t="s">
        <v>65</v>
      </c>
      <c r="C42" s="20" t="s">
        <v>85</v>
      </c>
      <c r="D42" s="2" t="s">
        <v>10</v>
      </c>
      <c r="E42" s="2" t="s">
        <v>15</v>
      </c>
      <c r="F42" s="2" t="b">
        <f t="shared" si="0"/>
        <v>0</v>
      </c>
      <c r="G42" s="7" t="s">
        <v>106</v>
      </c>
      <c r="H42" s="2" t="b">
        <f t="shared" si="1"/>
        <v>0</v>
      </c>
      <c r="I42" s="17" t="s">
        <v>174</v>
      </c>
      <c r="J42" s="16" t="s">
        <v>107</v>
      </c>
      <c r="K42" s="2"/>
    </row>
    <row r="43" spans="1:13" x14ac:dyDescent="0.25">
      <c r="A43" s="2">
        <v>16</v>
      </c>
      <c r="B43" s="2" t="s">
        <v>65</v>
      </c>
      <c r="C43" s="20" t="s">
        <v>86</v>
      </c>
      <c r="D43" s="2" t="s">
        <v>12</v>
      </c>
      <c r="E43" s="2" t="s">
        <v>15</v>
      </c>
      <c r="F43" s="2" t="b">
        <f t="shared" si="0"/>
        <v>0</v>
      </c>
      <c r="G43" s="8" t="s">
        <v>184</v>
      </c>
      <c r="H43" s="2" t="b">
        <f t="shared" si="1"/>
        <v>0</v>
      </c>
      <c r="I43" s="17" t="s">
        <v>174</v>
      </c>
      <c r="J43" s="14" t="s">
        <v>125</v>
      </c>
      <c r="K43" s="2"/>
    </row>
    <row r="44" spans="1:13" x14ac:dyDescent="0.25">
      <c r="A44" s="2">
        <v>17</v>
      </c>
      <c r="B44" s="2" t="s">
        <v>66</v>
      </c>
      <c r="C44" s="20" t="s">
        <v>87</v>
      </c>
      <c r="D44" s="2" t="s">
        <v>10</v>
      </c>
      <c r="E44" s="2" t="s">
        <v>15</v>
      </c>
      <c r="F44" s="2" t="b">
        <f t="shared" si="0"/>
        <v>0</v>
      </c>
      <c r="G44" s="3" t="s">
        <v>10</v>
      </c>
      <c r="H44" s="2" t="b">
        <f t="shared" si="1"/>
        <v>1</v>
      </c>
      <c r="I44" s="17" t="s">
        <v>175</v>
      </c>
      <c r="J44" s="13" t="s">
        <v>97</v>
      </c>
      <c r="K44" s="2"/>
    </row>
    <row r="45" spans="1:13" x14ac:dyDescent="0.25">
      <c r="A45" s="2">
        <v>17</v>
      </c>
      <c r="B45" s="2" t="s">
        <v>66</v>
      </c>
      <c r="C45" s="20" t="s">
        <v>88</v>
      </c>
      <c r="D45" s="2" t="s">
        <v>24</v>
      </c>
      <c r="E45" s="2" t="s">
        <v>24</v>
      </c>
      <c r="F45" s="2" t="b">
        <f t="shared" si="0"/>
        <v>1</v>
      </c>
      <c r="G45" s="3" t="s">
        <v>24</v>
      </c>
      <c r="H45" s="2" t="b">
        <f t="shared" si="1"/>
        <v>1</v>
      </c>
      <c r="I45" s="17" t="s">
        <v>175</v>
      </c>
      <c r="J45" s="13" t="s">
        <v>108</v>
      </c>
      <c r="K45" s="2" t="s">
        <v>109</v>
      </c>
    </row>
    <row r="46" spans="1:13" x14ac:dyDescent="0.25">
      <c r="A46" s="2">
        <v>17</v>
      </c>
      <c r="B46" s="2" t="s">
        <v>66</v>
      </c>
      <c r="C46" s="20" t="s">
        <v>89</v>
      </c>
      <c r="D46" s="2" t="s">
        <v>12</v>
      </c>
      <c r="E46" s="2" t="s">
        <v>12</v>
      </c>
      <c r="F46" s="2" t="b">
        <f t="shared" si="0"/>
        <v>1</v>
      </c>
      <c r="G46" s="3" t="s">
        <v>12</v>
      </c>
      <c r="H46" s="2" t="b">
        <f t="shared" si="1"/>
        <v>1</v>
      </c>
      <c r="I46" s="17" t="s">
        <v>174</v>
      </c>
      <c r="J46" s="16" t="s">
        <v>48</v>
      </c>
      <c r="K46" s="2"/>
    </row>
    <row r="47" spans="1:13" x14ac:dyDescent="0.25">
      <c r="A47" s="2">
        <v>18</v>
      </c>
      <c r="B47" s="2" t="s">
        <v>67</v>
      </c>
      <c r="C47" s="20" t="s">
        <v>90</v>
      </c>
      <c r="D47" s="2" t="s">
        <v>10</v>
      </c>
      <c r="E47" s="2" t="s">
        <v>10</v>
      </c>
      <c r="F47" s="2" t="b">
        <f>D47=E47</f>
        <v>1</v>
      </c>
      <c r="G47" s="3" t="s">
        <v>10</v>
      </c>
      <c r="H47" s="2" t="b">
        <f t="shared" si="1"/>
        <v>1</v>
      </c>
      <c r="I47" s="17" t="s">
        <v>174</v>
      </c>
      <c r="J47" s="16" t="s">
        <v>48</v>
      </c>
      <c r="K47" s="2"/>
    </row>
    <row r="48" spans="1:13" x14ac:dyDescent="0.25">
      <c r="A48" s="2">
        <v>18</v>
      </c>
      <c r="B48" s="2" t="s">
        <v>67</v>
      </c>
      <c r="C48" s="20" t="s">
        <v>91</v>
      </c>
      <c r="D48" s="2" t="s">
        <v>24</v>
      </c>
      <c r="E48" s="2" t="s">
        <v>15</v>
      </c>
      <c r="F48" s="2" t="b">
        <f t="shared" ref="F48:F87" si="2">D48=E48</f>
        <v>0</v>
      </c>
      <c r="G48" s="7" t="s">
        <v>110</v>
      </c>
      <c r="H48" s="2" t="b">
        <f t="shared" si="1"/>
        <v>0</v>
      </c>
      <c r="I48" s="17" t="s">
        <v>174</v>
      </c>
      <c r="J48" s="16" t="s">
        <v>45</v>
      </c>
      <c r="K48" s="2"/>
    </row>
    <row r="49" spans="1:11" x14ac:dyDescent="0.25">
      <c r="A49" s="2">
        <v>18</v>
      </c>
      <c r="B49" s="2" t="s">
        <v>67</v>
      </c>
      <c r="C49" s="20" t="s">
        <v>92</v>
      </c>
      <c r="D49" s="2" t="s">
        <v>12</v>
      </c>
      <c r="E49" s="2" t="s">
        <v>15</v>
      </c>
      <c r="F49" s="2" t="b">
        <f t="shared" si="2"/>
        <v>0</v>
      </c>
      <c r="G49" s="3" t="s">
        <v>12</v>
      </c>
      <c r="H49" s="2" t="b">
        <f t="shared" si="1"/>
        <v>1</v>
      </c>
      <c r="I49" s="17" t="s">
        <v>175</v>
      </c>
      <c r="J49" s="13" t="s">
        <v>97</v>
      </c>
      <c r="K49" s="2"/>
    </row>
    <row r="50" spans="1:11" x14ac:dyDescent="0.25">
      <c r="A50" s="2">
        <v>19</v>
      </c>
      <c r="B50" s="2" t="s">
        <v>68</v>
      </c>
      <c r="C50" s="20" t="s">
        <v>93</v>
      </c>
      <c r="D50" s="2" t="s">
        <v>39</v>
      </c>
      <c r="E50" s="2" t="s">
        <v>15</v>
      </c>
      <c r="F50" s="2" t="b">
        <f t="shared" si="2"/>
        <v>0</v>
      </c>
      <c r="G50" s="7" t="s">
        <v>111</v>
      </c>
      <c r="H50" s="2" t="b">
        <f t="shared" si="1"/>
        <v>0</v>
      </c>
      <c r="I50" s="17" t="s">
        <v>174</v>
      </c>
      <c r="J50" s="16" t="s">
        <v>45</v>
      </c>
      <c r="K50" s="2"/>
    </row>
    <row r="51" spans="1:11" x14ac:dyDescent="0.25">
      <c r="A51" s="2">
        <v>19</v>
      </c>
      <c r="B51" s="2" t="s">
        <v>68</v>
      </c>
      <c r="C51" s="20" t="s">
        <v>94</v>
      </c>
      <c r="D51" s="2" t="s">
        <v>41</v>
      </c>
      <c r="E51" s="2" t="s">
        <v>15</v>
      </c>
      <c r="F51" s="2" t="b">
        <f t="shared" si="2"/>
        <v>0</v>
      </c>
      <c r="G51" s="7" t="s">
        <v>112</v>
      </c>
      <c r="H51" s="2" t="b">
        <f t="shared" si="1"/>
        <v>0</v>
      </c>
      <c r="I51" s="17" t="s">
        <v>174</v>
      </c>
      <c r="J51" s="16" t="s">
        <v>45</v>
      </c>
      <c r="K51" s="2"/>
    </row>
    <row r="52" spans="1:11" x14ac:dyDescent="0.25">
      <c r="A52" s="2">
        <v>19</v>
      </c>
      <c r="B52" s="2" t="s">
        <v>68</v>
      </c>
      <c r="C52" s="20" t="s">
        <v>95</v>
      </c>
      <c r="D52" s="2" t="s">
        <v>41</v>
      </c>
      <c r="E52" s="2" t="s">
        <v>15</v>
      </c>
      <c r="F52" s="2" t="b">
        <f t="shared" si="2"/>
        <v>0</v>
      </c>
      <c r="G52" s="7" t="s">
        <v>113</v>
      </c>
      <c r="H52" s="2" t="b">
        <f t="shared" si="1"/>
        <v>0</v>
      </c>
      <c r="I52" s="17" t="s">
        <v>174</v>
      </c>
      <c r="J52" s="16" t="s">
        <v>45</v>
      </c>
      <c r="K52" s="2"/>
    </row>
    <row r="53" spans="1:11" x14ac:dyDescent="0.25">
      <c r="A53" s="2">
        <v>19</v>
      </c>
      <c r="B53" s="2" t="s">
        <v>68</v>
      </c>
      <c r="C53" s="20" t="s">
        <v>96</v>
      </c>
      <c r="D53" s="2" t="s">
        <v>40</v>
      </c>
      <c r="E53" s="2" t="s">
        <v>15</v>
      </c>
      <c r="F53" s="2" t="b">
        <f t="shared" si="2"/>
        <v>0</v>
      </c>
      <c r="G53" s="3" t="s">
        <v>40</v>
      </c>
      <c r="H53" s="2" t="b">
        <f t="shared" si="1"/>
        <v>1</v>
      </c>
      <c r="I53" s="17" t="s">
        <v>177</v>
      </c>
      <c r="J53" s="13" t="s">
        <v>165</v>
      </c>
      <c r="K53" s="2"/>
    </row>
    <row r="54" spans="1:11" x14ac:dyDescent="0.25">
      <c r="A54" s="2"/>
      <c r="B54" s="2" t="s">
        <v>114</v>
      </c>
      <c r="C54" s="20" t="s">
        <v>120</v>
      </c>
      <c r="D54" s="2" t="s">
        <v>8</v>
      </c>
      <c r="E54" s="2" t="s">
        <v>15</v>
      </c>
      <c r="F54" s="2" t="b">
        <f t="shared" si="2"/>
        <v>0</v>
      </c>
      <c r="G54" s="7" t="s">
        <v>161</v>
      </c>
      <c r="H54" s="2" t="b">
        <f t="shared" si="1"/>
        <v>0</v>
      </c>
      <c r="I54" s="17" t="s">
        <v>174</v>
      </c>
      <c r="J54" s="16" t="s">
        <v>45</v>
      </c>
      <c r="K54" s="2"/>
    </row>
    <row r="55" spans="1:11" x14ac:dyDescent="0.25">
      <c r="A55" s="2"/>
      <c r="B55" s="2" t="s">
        <v>114</v>
      </c>
      <c r="C55" s="20" t="s">
        <v>121</v>
      </c>
      <c r="D55" s="2" t="s">
        <v>10</v>
      </c>
      <c r="E55" s="2" t="s">
        <v>15</v>
      </c>
      <c r="F55" s="2" t="b">
        <f t="shared" si="2"/>
        <v>0</v>
      </c>
      <c r="G55" s="7" t="s">
        <v>161</v>
      </c>
      <c r="H55" s="2" t="b">
        <f t="shared" si="1"/>
        <v>0</v>
      </c>
      <c r="I55" s="17" t="s">
        <v>174</v>
      </c>
      <c r="J55" s="16" t="s">
        <v>45</v>
      </c>
      <c r="K55" s="2"/>
    </row>
    <row r="56" spans="1:11" x14ac:dyDescent="0.25">
      <c r="A56" s="2"/>
      <c r="B56" s="2" t="s">
        <v>114</v>
      </c>
      <c r="C56" s="20" t="s">
        <v>122</v>
      </c>
      <c r="D56" s="2" t="s">
        <v>12</v>
      </c>
      <c r="E56" s="2" t="s">
        <v>15</v>
      </c>
      <c r="F56" s="2" t="b">
        <f t="shared" si="2"/>
        <v>0</v>
      </c>
      <c r="G56" s="8" t="s">
        <v>183</v>
      </c>
      <c r="H56" s="2" t="b">
        <f t="shared" si="1"/>
        <v>0</v>
      </c>
      <c r="I56" s="17" t="s">
        <v>174</v>
      </c>
      <c r="J56" s="3" t="s">
        <v>124</v>
      </c>
      <c r="K56" s="2"/>
    </row>
    <row r="57" spans="1:11" x14ac:dyDescent="0.25">
      <c r="A57" s="2"/>
      <c r="B57" s="2" t="s">
        <v>115</v>
      </c>
      <c r="C57" s="20" t="s">
        <v>128</v>
      </c>
      <c r="D57" s="2" t="s">
        <v>12</v>
      </c>
      <c r="E57" s="2" t="s">
        <v>12</v>
      </c>
      <c r="F57" s="2" t="b">
        <f t="shared" si="2"/>
        <v>1</v>
      </c>
      <c r="G57" s="8" t="s">
        <v>184</v>
      </c>
      <c r="H57" s="2" t="b">
        <f t="shared" si="1"/>
        <v>0</v>
      </c>
      <c r="I57" s="17" t="s">
        <v>174</v>
      </c>
      <c r="J57" s="14" t="s">
        <v>125</v>
      </c>
      <c r="K57" s="2"/>
    </row>
    <row r="58" spans="1:11" x14ac:dyDescent="0.25">
      <c r="A58" s="2"/>
      <c r="B58" s="2" t="s">
        <v>115</v>
      </c>
      <c r="C58" s="20" t="s">
        <v>127</v>
      </c>
      <c r="D58" s="2" t="s">
        <v>24</v>
      </c>
      <c r="E58" s="2" t="s">
        <v>15</v>
      </c>
      <c r="F58" s="2" t="b">
        <f t="shared" si="2"/>
        <v>0</v>
      </c>
      <c r="G58" s="8" t="s">
        <v>162</v>
      </c>
      <c r="H58" s="2" t="b">
        <f t="shared" si="1"/>
        <v>0</v>
      </c>
      <c r="I58" s="17" t="s">
        <v>177</v>
      </c>
      <c r="J58" s="7" t="s">
        <v>176</v>
      </c>
      <c r="K58" s="2"/>
    </row>
    <row r="59" spans="1:11" x14ac:dyDescent="0.25">
      <c r="A59" s="2"/>
      <c r="B59" s="2" t="s">
        <v>115</v>
      </c>
      <c r="C59" s="20" t="s">
        <v>126</v>
      </c>
      <c r="D59" s="2" t="s">
        <v>10</v>
      </c>
      <c r="E59" s="2" t="s">
        <v>10</v>
      </c>
      <c r="F59" s="2" t="b">
        <f t="shared" si="2"/>
        <v>1</v>
      </c>
      <c r="G59" s="3" t="s">
        <v>10</v>
      </c>
      <c r="H59" s="2" t="b">
        <f t="shared" si="1"/>
        <v>1</v>
      </c>
      <c r="I59" s="17" t="s">
        <v>174</v>
      </c>
      <c r="J59" s="16" t="s">
        <v>48</v>
      </c>
      <c r="K59" s="2"/>
    </row>
    <row r="60" spans="1:11" x14ac:dyDescent="0.25">
      <c r="A60" s="2"/>
      <c r="B60" s="2" t="s">
        <v>116</v>
      </c>
      <c r="C60" s="20" t="s">
        <v>130</v>
      </c>
      <c r="D60" s="2" t="s">
        <v>10</v>
      </c>
      <c r="E60" s="2" t="s">
        <v>10</v>
      </c>
      <c r="F60" s="2" t="b">
        <f t="shared" si="2"/>
        <v>1</v>
      </c>
      <c r="G60" s="3" t="s">
        <v>10</v>
      </c>
      <c r="H60" s="2" t="b">
        <f t="shared" si="1"/>
        <v>1</v>
      </c>
      <c r="I60" s="17" t="s">
        <v>174</v>
      </c>
      <c r="J60" s="16" t="s">
        <v>48</v>
      </c>
      <c r="K60" s="2"/>
    </row>
    <row r="61" spans="1:11" x14ac:dyDescent="0.25">
      <c r="A61" s="2"/>
      <c r="B61" s="2" t="s">
        <v>116</v>
      </c>
      <c r="C61" s="20" t="s">
        <v>129</v>
      </c>
      <c r="D61" s="2" t="s">
        <v>24</v>
      </c>
      <c r="E61" s="2" t="s">
        <v>24</v>
      </c>
      <c r="F61" s="2" t="b">
        <f t="shared" si="2"/>
        <v>1</v>
      </c>
      <c r="G61" s="3" t="s">
        <v>24</v>
      </c>
      <c r="H61" s="2" t="b">
        <f t="shared" si="1"/>
        <v>1</v>
      </c>
      <c r="I61" s="17" t="s">
        <v>174</v>
      </c>
      <c r="J61" s="16" t="s">
        <v>48</v>
      </c>
      <c r="K61" s="2"/>
    </row>
    <row r="62" spans="1:11" x14ac:dyDescent="0.25">
      <c r="A62" s="2"/>
      <c r="B62" s="2" t="s">
        <v>116</v>
      </c>
      <c r="C62" s="20" t="s">
        <v>132</v>
      </c>
      <c r="D62" s="2" t="s">
        <v>12</v>
      </c>
      <c r="E62" s="2" t="s">
        <v>12</v>
      </c>
      <c r="F62" s="2" t="b">
        <f t="shared" si="2"/>
        <v>1</v>
      </c>
      <c r="G62" s="7" t="s">
        <v>133</v>
      </c>
      <c r="H62" s="2" t="b">
        <f t="shared" si="1"/>
        <v>0</v>
      </c>
      <c r="I62" s="17" t="s">
        <v>175</v>
      </c>
      <c r="J62" s="7" t="s">
        <v>136</v>
      </c>
      <c r="K62" s="2"/>
    </row>
    <row r="63" spans="1:11" x14ac:dyDescent="0.25">
      <c r="A63" s="2"/>
      <c r="B63" s="2" t="s">
        <v>116</v>
      </c>
      <c r="C63" s="20" t="s">
        <v>131</v>
      </c>
      <c r="D63" s="2" t="s">
        <v>12</v>
      </c>
      <c r="E63" s="2" t="s">
        <v>12</v>
      </c>
      <c r="F63" s="2" t="b">
        <f t="shared" si="2"/>
        <v>1</v>
      </c>
      <c r="G63" s="3" t="s">
        <v>12</v>
      </c>
      <c r="H63" s="2" t="b">
        <f t="shared" si="1"/>
        <v>1</v>
      </c>
      <c r="I63" s="17" t="s">
        <v>174</v>
      </c>
      <c r="J63" s="16" t="s">
        <v>48</v>
      </c>
      <c r="K63" s="2"/>
    </row>
    <row r="64" spans="1:11" x14ac:dyDescent="0.25">
      <c r="A64" s="2"/>
      <c r="B64" s="2" t="s">
        <v>117</v>
      </c>
      <c r="C64" s="20" t="s">
        <v>137</v>
      </c>
      <c r="D64" s="2" t="s">
        <v>39</v>
      </c>
      <c r="E64" s="2" t="s">
        <v>15</v>
      </c>
      <c r="F64" s="2" t="b">
        <f t="shared" si="2"/>
        <v>0</v>
      </c>
      <c r="G64" s="7" t="s">
        <v>163</v>
      </c>
      <c r="H64" s="2" t="b">
        <f t="shared" si="1"/>
        <v>0</v>
      </c>
      <c r="I64" s="17" t="s">
        <v>174</v>
      </c>
      <c r="J64" s="16" t="s">
        <v>45</v>
      </c>
      <c r="K64" s="2"/>
    </row>
    <row r="65" spans="1:11" x14ac:dyDescent="0.25">
      <c r="A65" s="2"/>
      <c r="B65" s="2" t="s">
        <v>117</v>
      </c>
      <c r="C65" s="20" t="s">
        <v>138</v>
      </c>
      <c r="D65" s="2" t="s">
        <v>41</v>
      </c>
      <c r="E65" s="2" t="s">
        <v>15</v>
      </c>
      <c r="F65" s="2" t="b">
        <f t="shared" si="2"/>
        <v>0</v>
      </c>
      <c r="G65" s="8" t="s">
        <v>184</v>
      </c>
      <c r="H65" s="2" t="b">
        <f t="shared" si="1"/>
        <v>0</v>
      </c>
      <c r="I65" s="17" t="s">
        <v>174</v>
      </c>
      <c r="J65" s="14" t="s">
        <v>125</v>
      </c>
      <c r="K65" s="2"/>
    </row>
    <row r="66" spans="1:11" x14ac:dyDescent="0.25">
      <c r="A66" s="2"/>
      <c r="B66" s="2" t="s">
        <v>117</v>
      </c>
      <c r="C66" s="20" t="s">
        <v>139</v>
      </c>
      <c r="D66" s="2" t="s">
        <v>40</v>
      </c>
      <c r="E66" s="2" t="s">
        <v>15</v>
      </c>
      <c r="F66" s="2" t="b">
        <f t="shared" si="2"/>
        <v>0</v>
      </c>
      <c r="G66" s="3" t="s">
        <v>40</v>
      </c>
      <c r="H66" s="2" t="b">
        <f t="shared" si="1"/>
        <v>1</v>
      </c>
      <c r="I66" s="17" t="s">
        <v>177</v>
      </c>
      <c r="J66" s="13" t="s">
        <v>165</v>
      </c>
      <c r="K66" s="2"/>
    </row>
    <row r="67" spans="1:11" x14ac:dyDescent="0.25">
      <c r="A67" s="2"/>
      <c r="B67" s="2" t="s">
        <v>118</v>
      </c>
      <c r="C67" s="20" t="s">
        <v>140</v>
      </c>
      <c r="D67" s="2" t="s">
        <v>10</v>
      </c>
      <c r="E67" s="2" t="s">
        <v>10</v>
      </c>
      <c r="F67" s="2" t="b">
        <f t="shared" si="2"/>
        <v>1</v>
      </c>
      <c r="G67" s="3" t="s">
        <v>10</v>
      </c>
      <c r="H67" s="2" t="b">
        <f t="shared" ref="H67:H87" si="3">D67=G67</f>
        <v>1</v>
      </c>
      <c r="I67" s="17" t="s">
        <v>174</v>
      </c>
      <c r="J67" s="16" t="s">
        <v>48</v>
      </c>
      <c r="K67" s="2"/>
    </row>
    <row r="68" spans="1:11" x14ac:dyDescent="0.25">
      <c r="A68" s="2"/>
      <c r="B68" s="2" t="s">
        <v>118</v>
      </c>
      <c r="C68" s="20" t="s">
        <v>141</v>
      </c>
      <c r="D68" s="2" t="s">
        <v>24</v>
      </c>
      <c r="E68" s="2" t="s">
        <v>24</v>
      </c>
      <c r="F68" s="2" t="b">
        <f t="shared" si="2"/>
        <v>1</v>
      </c>
      <c r="G68" s="3" t="s">
        <v>24</v>
      </c>
      <c r="H68" s="2" t="b">
        <f t="shared" si="3"/>
        <v>1</v>
      </c>
      <c r="I68" s="17" t="s">
        <v>174</v>
      </c>
      <c r="J68" s="16" t="s">
        <v>48</v>
      </c>
      <c r="K68" s="2"/>
    </row>
    <row r="69" spans="1:11" x14ac:dyDescent="0.25">
      <c r="A69" s="2"/>
      <c r="B69" s="2" t="s">
        <v>118</v>
      </c>
      <c r="C69" s="20" t="s">
        <v>142</v>
      </c>
      <c r="D69" s="2" t="s">
        <v>12</v>
      </c>
      <c r="E69" s="2" t="s">
        <v>15</v>
      </c>
      <c r="F69" s="2" t="b">
        <f t="shared" si="2"/>
        <v>0</v>
      </c>
      <c r="G69" s="7" t="s">
        <v>164</v>
      </c>
      <c r="H69" s="2" t="b">
        <f t="shared" si="3"/>
        <v>0</v>
      </c>
      <c r="I69" s="17" t="s">
        <v>174</v>
      </c>
      <c r="J69" s="16" t="s">
        <v>45</v>
      </c>
      <c r="K69" s="2"/>
    </row>
    <row r="70" spans="1:11" x14ac:dyDescent="0.25">
      <c r="A70" s="2"/>
      <c r="B70" s="2" t="s">
        <v>119</v>
      </c>
      <c r="C70" s="20" t="s">
        <v>143</v>
      </c>
      <c r="D70" s="2" t="s">
        <v>10</v>
      </c>
      <c r="E70" s="2" t="s">
        <v>15</v>
      </c>
      <c r="F70" s="2" t="b">
        <f t="shared" si="2"/>
        <v>0</v>
      </c>
      <c r="G70" s="7" t="s">
        <v>162</v>
      </c>
      <c r="H70" s="2" t="b">
        <f t="shared" si="3"/>
        <v>0</v>
      </c>
      <c r="I70" s="17" t="s">
        <v>174</v>
      </c>
      <c r="J70" s="3" t="s">
        <v>45</v>
      </c>
      <c r="K70" s="2"/>
    </row>
    <row r="71" spans="1:11" x14ac:dyDescent="0.25">
      <c r="A71" s="2"/>
      <c r="B71" s="2" t="s">
        <v>119</v>
      </c>
      <c r="C71" s="20" t="s">
        <v>144</v>
      </c>
      <c r="D71" s="2" t="s">
        <v>24</v>
      </c>
      <c r="E71" s="2" t="s">
        <v>15</v>
      </c>
      <c r="F71" s="2" t="b">
        <f t="shared" si="2"/>
        <v>0</v>
      </c>
      <c r="G71" s="7" t="s">
        <v>166</v>
      </c>
      <c r="H71" s="2" t="b">
        <f t="shared" si="3"/>
        <v>0</v>
      </c>
      <c r="I71" s="17" t="s">
        <v>174</v>
      </c>
      <c r="J71" s="3" t="s">
        <v>45</v>
      </c>
      <c r="K71" s="2"/>
    </row>
    <row r="72" spans="1:11" x14ac:dyDescent="0.25">
      <c r="A72" s="2"/>
      <c r="B72" s="2" t="s">
        <v>119</v>
      </c>
      <c r="C72" s="20" t="s">
        <v>145</v>
      </c>
      <c r="D72" s="2" t="s">
        <v>24</v>
      </c>
      <c r="E72" s="2" t="s">
        <v>15</v>
      </c>
      <c r="F72" s="2" t="b">
        <f t="shared" si="2"/>
        <v>0</v>
      </c>
      <c r="G72" s="7" t="s">
        <v>167</v>
      </c>
      <c r="H72" s="2" t="b">
        <f t="shared" si="3"/>
        <v>0</v>
      </c>
      <c r="I72" s="17" t="s">
        <v>174</v>
      </c>
      <c r="J72" s="3" t="s">
        <v>45</v>
      </c>
      <c r="K72" s="2"/>
    </row>
    <row r="73" spans="1:11" x14ac:dyDescent="0.25">
      <c r="A73" s="2"/>
      <c r="B73" s="2" t="s">
        <v>119</v>
      </c>
      <c r="C73" s="20" t="s">
        <v>146</v>
      </c>
      <c r="D73" s="2" t="s">
        <v>24</v>
      </c>
      <c r="E73" s="2" t="s">
        <v>15</v>
      </c>
      <c r="F73" s="2" t="b">
        <f t="shared" si="2"/>
        <v>0</v>
      </c>
      <c r="G73" s="7" t="s">
        <v>168</v>
      </c>
      <c r="H73" s="2" t="b">
        <f t="shared" si="3"/>
        <v>0</v>
      </c>
      <c r="I73" s="17" t="s">
        <v>174</v>
      </c>
      <c r="J73" s="3" t="s">
        <v>45</v>
      </c>
      <c r="K73" s="2"/>
    </row>
    <row r="74" spans="1:11" x14ac:dyDescent="0.25">
      <c r="A74" s="2"/>
      <c r="B74" s="2" t="s">
        <v>119</v>
      </c>
      <c r="C74" s="20" t="s">
        <v>147</v>
      </c>
      <c r="D74" s="2" t="s">
        <v>12</v>
      </c>
      <c r="E74" s="2" t="s">
        <v>15</v>
      </c>
      <c r="F74" s="2" t="b">
        <f t="shared" si="2"/>
        <v>0</v>
      </c>
      <c r="G74" s="7" t="s">
        <v>110</v>
      </c>
      <c r="H74" s="2" t="b">
        <f t="shared" si="3"/>
        <v>0</v>
      </c>
      <c r="I74" s="17" t="s">
        <v>174</v>
      </c>
      <c r="J74" s="3" t="s">
        <v>45</v>
      </c>
      <c r="K74" s="2"/>
    </row>
    <row r="75" spans="1:11" x14ac:dyDescent="0.25">
      <c r="A75" s="2"/>
      <c r="B75" s="2" t="s">
        <v>119</v>
      </c>
      <c r="C75" s="20" t="s">
        <v>148</v>
      </c>
      <c r="D75" s="2" t="s">
        <v>12</v>
      </c>
      <c r="E75" s="2" t="s">
        <v>15</v>
      </c>
      <c r="F75" s="2" t="b">
        <f t="shared" si="2"/>
        <v>0</v>
      </c>
      <c r="G75" s="7" t="s">
        <v>110</v>
      </c>
      <c r="H75" s="2" t="b">
        <f t="shared" si="3"/>
        <v>0</v>
      </c>
      <c r="I75" s="17" t="s">
        <v>174</v>
      </c>
      <c r="J75" s="3" t="s">
        <v>45</v>
      </c>
      <c r="K75" s="2"/>
    </row>
    <row r="76" spans="1:11" x14ac:dyDescent="0.25">
      <c r="A76" s="2"/>
      <c r="B76" s="2" t="s">
        <v>119</v>
      </c>
      <c r="C76" s="20" t="s">
        <v>149</v>
      </c>
      <c r="D76" s="2" t="s">
        <v>12</v>
      </c>
      <c r="E76" s="2" t="s">
        <v>15</v>
      </c>
      <c r="F76" s="2" t="b">
        <f t="shared" si="2"/>
        <v>0</v>
      </c>
      <c r="G76" s="7" t="s">
        <v>169</v>
      </c>
      <c r="H76" s="2" t="b">
        <f t="shared" si="3"/>
        <v>0</v>
      </c>
      <c r="I76" s="17" t="s">
        <v>174</v>
      </c>
      <c r="J76" s="3" t="s">
        <v>45</v>
      </c>
      <c r="K76" s="2"/>
    </row>
    <row r="77" spans="1:11" x14ac:dyDescent="0.25">
      <c r="B77" s="2" t="s">
        <v>134</v>
      </c>
      <c r="C77" s="20" t="s">
        <v>150</v>
      </c>
      <c r="D77" s="2" t="s">
        <v>39</v>
      </c>
      <c r="E77" s="2" t="s">
        <v>15</v>
      </c>
      <c r="F77" s="2" t="b">
        <f t="shared" si="2"/>
        <v>0</v>
      </c>
      <c r="G77" s="7" t="s">
        <v>170</v>
      </c>
      <c r="H77" s="2" t="b">
        <f t="shared" si="3"/>
        <v>0</v>
      </c>
      <c r="I77" s="17" t="s">
        <v>174</v>
      </c>
      <c r="J77" s="3" t="s">
        <v>45</v>
      </c>
      <c r="K77" s="2"/>
    </row>
    <row r="78" spans="1:11" x14ac:dyDescent="0.25">
      <c r="B78" s="2" t="s">
        <v>134</v>
      </c>
      <c r="C78" s="20" t="s">
        <v>151</v>
      </c>
      <c r="D78" s="2" t="s">
        <v>39</v>
      </c>
      <c r="E78" s="2" t="s">
        <v>15</v>
      </c>
      <c r="F78" s="2" t="b">
        <f t="shared" si="2"/>
        <v>0</v>
      </c>
      <c r="G78" s="7" t="s">
        <v>170</v>
      </c>
      <c r="H78" s="2" t="b">
        <f t="shared" si="3"/>
        <v>0</v>
      </c>
      <c r="I78" s="17" t="s">
        <v>174</v>
      </c>
      <c r="J78" s="3" t="s">
        <v>45</v>
      </c>
      <c r="K78" s="2"/>
    </row>
    <row r="79" spans="1:11" x14ac:dyDescent="0.25">
      <c r="B79" s="2" t="s">
        <v>134</v>
      </c>
      <c r="C79" s="20" t="s">
        <v>152</v>
      </c>
      <c r="D79" s="2" t="s">
        <v>39</v>
      </c>
      <c r="E79" s="2" t="s">
        <v>15</v>
      </c>
      <c r="F79" s="2" t="b">
        <f t="shared" si="2"/>
        <v>0</v>
      </c>
      <c r="G79" s="7" t="s">
        <v>170</v>
      </c>
      <c r="H79" s="2" t="b">
        <f t="shared" si="3"/>
        <v>0</v>
      </c>
      <c r="I79" s="17" t="s">
        <v>174</v>
      </c>
      <c r="J79" s="3" t="s">
        <v>45</v>
      </c>
      <c r="K79" s="2"/>
    </row>
    <row r="80" spans="1:11" x14ac:dyDescent="0.25">
      <c r="B80" s="2" t="s">
        <v>134</v>
      </c>
      <c r="C80" s="20" t="s">
        <v>153</v>
      </c>
      <c r="D80" s="2" t="s">
        <v>41</v>
      </c>
      <c r="E80" s="2" t="s">
        <v>15</v>
      </c>
      <c r="F80" s="2" t="b">
        <f t="shared" si="2"/>
        <v>0</v>
      </c>
      <c r="G80" s="3" t="s">
        <v>41</v>
      </c>
      <c r="H80" s="2" t="b">
        <f t="shared" si="3"/>
        <v>1</v>
      </c>
      <c r="I80" s="17" t="s">
        <v>175</v>
      </c>
      <c r="J80" s="13" t="s">
        <v>97</v>
      </c>
      <c r="K80" s="2"/>
    </row>
    <row r="81" spans="2:11" x14ac:dyDescent="0.25">
      <c r="B81" s="2" t="s">
        <v>134</v>
      </c>
      <c r="C81" s="20" t="s">
        <v>154</v>
      </c>
      <c r="D81" s="2" t="s">
        <v>40</v>
      </c>
      <c r="E81" s="2" t="s">
        <v>15</v>
      </c>
      <c r="F81" s="2" t="b">
        <f t="shared" si="2"/>
        <v>0</v>
      </c>
      <c r="G81" s="3" t="s">
        <v>40</v>
      </c>
      <c r="H81" s="2" t="b">
        <f t="shared" si="3"/>
        <v>1</v>
      </c>
      <c r="I81" s="17" t="s">
        <v>177</v>
      </c>
      <c r="J81" s="13" t="s">
        <v>165</v>
      </c>
      <c r="K81" s="2"/>
    </row>
    <row r="82" spans="2:11" x14ac:dyDescent="0.25">
      <c r="B82" s="2" t="s">
        <v>135</v>
      </c>
      <c r="C82" s="20" t="s">
        <v>155</v>
      </c>
      <c r="D82" s="2" t="s">
        <v>39</v>
      </c>
      <c r="E82" s="2" t="s">
        <v>15</v>
      </c>
      <c r="F82" s="2" t="b">
        <f t="shared" si="2"/>
        <v>0</v>
      </c>
      <c r="G82" s="7" t="s">
        <v>171</v>
      </c>
      <c r="H82" s="2" t="b">
        <f t="shared" si="3"/>
        <v>0</v>
      </c>
      <c r="I82" s="17" t="s">
        <v>174</v>
      </c>
      <c r="J82" s="3" t="s">
        <v>45</v>
      </c>
      <c r="K82" s="2"/>
    </row>
    <row r="83" spans="2:11" x14ac:dyDescent="0.25">
      <c r="B83" s="2" t="s">
        <v>135</v>
      </c>
      <c r="C83" s="20" t="s">
        <v>156</v>
      </c>
      <c r="D83" s="2" t="s">
        <v>41</v>
      </c>
      <c r="E83" s="2" t="s">
        <v>15</v>
      </c>
      <c r="F83" s="2" t="b">
        <f t="shared" si="2"/>
        <v>0</v>
      </c>
      <c r="G83" s="3" t="s">
        <v>41</v>
      </c>
      <c r="H83" s="2" t="b">
        <f t="shared" si="3"/>
        <v>1</v>
      </c>
      <c r="I83" s="17" t="s">
        <v>175</v>
      </c>
      <c r="J83" s="13" t="s">
        <v>97</v>
      </c>
      <c r="K83" s="2"/>
    </row>
    <row r="84" spans="2:11" x14ac:dyDescent="0.25">
      <c r="B84" s="2" t="s">
        <v>135</v>
      </c>
      <c r="C84" s="20" t="s">
        <v>157</v>
      </c>
      <c r="D84" s="2" t="s">
        <v>40</v>
      </c>
      <c r="E84" s="2" t="s">
        <v>15</v>
      </c>
      <c r="F84" s="2" t="b">
        <f t="shared" si="2"/>
        <v>0</v>
      </c>
      <c r="G84" s="3" t="s">
        <v>40</v>
      </c>
      <c r="H84" s="2" t="b">
        <f t="shared" si="3"/>
        <v>1</v>
      </c>
      <c r="I84" s="17" t="s">
        <v>177</v>
      </c>
      <c r="J84" s="13" t="s">
        <v>165</v>
      </c>
      <c r="K84" s="2"/>
    </row>
    <row r="85" spans="2:11" x14ac:dyDescent="0.25">
      <c r="B85" s="2" t="s">
        <v>135</v>
      </c>
      <c r="C85" s="20" t="s">
        <v>158</v>
      </c>
      <c r="D85" s="2" t="s">
        <v>40</v>
      </c>
      <c r="E85" s="2" t="s">
        <v>15</v>
      </c>
      <c r="F85" s="2" t="b">
        <f t="shared" si="2"/>
        <v>0</v>
      </c>
      <c r="G85" s="3" t="s">
        <v>40</v>
      </c>
      <c r="H85" s="2" t="b">
        <f t="shared" si="3"/>
        <v>1</v>
      </c>
      <c r="I85" s="17" t="s">
        <v>177</v>
      </c>
      <c r="J85" s="13" t="s">
        <v>165</v>
      </c>
      <c r="K85" s="2"/>
    </row>
    <row r="86" spans="2:11" x14ac:dyDescent="0.25">
      <c r="B86" s="2" t="s">
        <v>135</v>
      </c>
      <c r="C86" s="20" t="s">
        <v>159</v>
      </c>
      <c r="D86" s="2" t="s">
        <v>40</v>
      </c>
      <c r="E86" s="2" t="s">
        <v>15</v>
      </c>
      <c r="F86" s="2" t="b">
        <f t="shared" si="2"/>
        <v>0</v>
      </c>
      <c r="G86" s="3" t="s">
        <v>40</v>
      </c>
      <c r="H86" s="2" t="b">
        <f t="shared" si="3"/>
        <v>1</v>
      </c>
      <c r="I86" s="17" t="s">
        <v>177</v>
      </c>
      <c r="J86" s="13" t="s">
        <v>165</v>
      </c>
      <c r="K86" s="2"/>
    </row>
    <row r="87" spans="2:11" x14ac:dyDescent="0.25">
      <c r="B87" s="2" t="s">
        <v>135</v>
      </c>
      <c r="C87" s="20" t="s">
        <v>160</v>
      </c>
      <c r="D87" s="2" t="s">
        <v>40</v>
      </c>
      <c r="E87" s="2" t="s">
        <v>15</v>
      </c>
      <c r="F87" s="2" t="b">
        <f t="shared" si="2"/>
        <v>0</v>
      </c>
      <c r="G87" s="3" t="s">
        <v>40</v>
      </c>
      <c r="H87" s="2" t="b">
        <f t="shared" si="3"/>
        <v>1</v>
      </c>
      <c r="I87" s="17" t="s">
        <v>177</v>
      </c>
      <c r="J87" s="13" t="s">
        <v>165</v>
      </c>
      <c r="K87" s="2"/>
    </row>
  </sheetData>
  <autoFilter ref="A1:K87" xr:uid="{00000000-0009-0000-0000-000002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8959-11EA-402F-92C4-E5130395C5E5}">
  <sheetPr codeName="Лист3"/>
  <dimension ref="A1:B48"/>
  <sheetViews>
    <sheetView workbookViewId="0">
      <selection activeCell="A6" sqref="A6"/>
    </sheetView>
  </sheetViews>
  <sheetFormatPr defaultRowHeight="15" x14ac:dyDescent="0.25"/>
  <cols>
    <col min="1" max="1" width="80.140625" bestFit="1" customWidth="1"/>
    <col min="2" max="2" width="27.5703125" bestFit="1" customWidth="1"/>
  </cols>
  <sheetData>
    <row r="1" spans="1:2" x14ac:dyDescent="0.25">
      <c r="A1" s="32" t="s">
        <v>185</v>
      </c>
    </row>
    <row r="2" spans="1:2" x14ac:dyDescent="0.25">
      <c r="A2" t="str">
        <f>"📊 Всего документов: "&amp;COUNTA(Лист1!H:H)-1</f>
        <v>📊 Всего документов: 86</v>
      </c>
    </row>
    <row r="3" spans="1:2" x14ac:dyDescent="0.25">
      <c r="A3" t="str">
        <f>"✅ Верно: "&amp;COUNTIF(Лист1!H:H,"ИСТИНА")&amp;" ("&amp;TEXT(COUNTIF(Лист1!H:H,"ИСТИНА")/(COUNTA(Лист1!H:H)-1)*100,"0,0")&amp;"%)    "&amp;REPT("█",ROUND(COUNTIF(Лист1!H:H,"ИСТИНА")/(COUNTA(Лист1!H:H)-1)*30,0))&amp;REPT("░",30-ROUND(COUNTIF(Лист1!H:H,"ИСТИНА")/(COUNTA(Лист1!H:H)-1)*30,0))</f>
        <v>✅ Верно: 40 (46,5%)    ██████████████░░░░░░░░░░░░░░░░</v>
      </c>
    </row>
    <row r="4" spans="1:2" x14ac:dyDescent="0.25">
      <c r="A4" t="str">
        <f>"❌ Ошибся: "&amp;COUNTIF(Лист1!H:H,"ЛОЖЬ")&amp;" ("&amp;TEXT(COUNTIF(Лист1!H:H,"ЛОЖЬ")/(COUNTA(Лист1!H:H)-1)*100,"0,0")&amp;"%)    "&amp;REPT("█",ROUND(COUNTIF(Лист1!H:H,"ЛОЖЬ")/(COUNTA(Лист1!H:H)-1)*30,0))&amp;REPT("░",30-ROUND(COUNTIF(Лист1!H:H,"ЛОЖЬ")/(COUNTA(Лист1!H:H)-1)*30,0))</f>
        <v>❌ Ошибся: 46 (53,5%)    ████████████████░░░░░░░░░░░░░░</v>
      </c>
    </row>
    <row r="6" spans="1:2" x14ac:dyDescent="0.25">
      <c r="A6" s="32" t="s">
        <v>186</v>
      </c>
    </row>
    <row r="7" spans="1:2" x14ac:dyDescent="0.25">
      <c r="A7" s="29" t="s">
        <v>172</v>
      </c>
      <c r="B7" t="s">
        <v>180</v>
      </c>
    </row>
    <row r="9" spans="1:2" x14ac:dyDescent="0.25">
      <c r="A9" s="29" t="s">
        <v>181</v>
      </c>
      <c r="B9" t="s">
        <v>182</v>
      </c>
    </row>
    <row r="10" spans="1:2" x14ac:dyDescent="0.25">
      <c r="A10" s="28" t="s">
        <v>12</v>
      </c>
      <c r="B10" s="30">
        <v>12</v>
      </c>
    </row>
    <row r="11" spans="1:2" x14ac:dyDescent="0.25">
      <c r="A11" s="31" t="s">
        <v>183</v>
      </c>
      <c r="B11" s="30">
        <v>3</v>
      </c>
    </row>
    <row r="12" spans="1:2" x14ac:dyDescent="0.25">
      <c r="A12" s="31" t="s">
        <v>184</v>
      </c>
      <c r="B12" s="30">
        <v>3</v>
      </c>
    </row>
    <row r="13" spans="1:2" x14ac:dyDescent="0.25">
      <c r="A13" s="31" t="s">
        <v>110</v>
      </c>
      <c r="B13" s="30">
        <v>2</v>
      </c>
    </row>
    <row r="14" spans="1:2" x14ac:dyDescent="0.25">
      <c r="A14" s="31" t="s">
        <v>133</v>
      </c>
      <c r="B14" s="30">
        <v>1</v>
      </c>
    </row>
    <row r="15" spans="1:2" x14ac:dyDescent="0.25">
      <c r="A15" s="31" t="s">
        <v>164</v>
      </c>
      <c r="B15" s="30">
        <v>1</v>
      </c>
    </row>
    <row r="16" spans="1:2" x14ac:dyDescent="0.25">
      <c r="A16" s="31" t="s">
        <v>50</v>
      </c>
      <c r="B16" s="30">
        <v>1</v>
      </c>
    </row>
    <row r="17" spans="1:2" x14ac:dyDescent="0.25">
      <c r="A17" s="31" t="s">
        <v>169</v>
      </c>
      <c r="B17" s="30">
        <v>1</v>
      </c>
    </row>
    <row r="18" spans="1:2" x14ac:dyDescent="0.25">
      <c r="A18" s="28" t="s">
        <v>10</v>
      </c>
      <c r="B18" s="30">
        <v>10</v>
      </c>
    </row>
    <row r="19" spans="1:2" x14ac:dyDescent="0.25">
      <c r="A19" s="31" t="s">
        <v>106</v>
      </c>
      <c r="B19" s="30">
        <v>6</v>
      </c>
    </row>
    <row r="20" spans="1:2" x14ac:dyDescent="0.25">
      <c r="A20" s="31" t="s">
        <v>49</v>
      </c>
      <c r="B20" s="30">
        <v>1</v>
      </c>
    </row>
    <row r="21" spans="1:2" x14ac:dyDescent="0.25">
      <c r="A21" s="31" t="s">
        <v>162</v>
      </c>
      <c r="B21" s="30">
        <v>1</v>
      </c>
    </row>
    <row r="22" spans="1:2" x14ac:dyDescent="0.25">
      <c r="A22" s="31" t="s">
        <v>161</v>
      </c>
      <c r="B22" s="30">
        <v>1</v>
      </c>
    </row>
    <row r="23" spans="1:2" x14ac:dyDescent="0.25">
      <c r="A23" s="31" t="s">
        <v>43</v>
      </c>
      <c r="B23" s="30">
        <v>1</v>
      </c>
    </row>
    <row r="24" spans="1:2" x14ac:dyDescent="0.25">
      <c r="A24" s="28" t="s">
        <v>24</v>
      </c>
      <c r="B24" s="30">
        <v>7</v>
      </c>
    </row>
    <row r="25" spans="1:2" x14ac:dyDescent="0.25">
      <c r="A25" s="31" t="s">
        <v>52</v>
      </c>
      <c r="B25" s="30">
        <v>1</v>
      </c>
    </row>
    <row r="26" spans="1:2" x14ac:dyDescent="0.25">
      <c r="A26" s="31" t="s">
        <v>110</v>
      </c>
      <c r="B26" s="30">
        <v>1</v>
      </c>
    </row>
    <row r="27" spans="1:2" x14ac:dyDescent="0.25">
      <c r="A27" s="31" t="s">
        <v>162</v>
      </c>
      <c r="B27" s="30">
        <v>1</v>
      </c>
    </row>
    <row r="28" spans="1:2" x14ac:dyDescent="0.25">
      <c r="A28" s="31" t="s">
        <v>168</v>
      </c>
      <c r="B28" s="30">
        <v>1</v>
      </c>
    </row>
    <row r="29" spans="1:2" x14ac:dyDescent="0.25">
      <c r="A29" s="31" t="s">
        <v>167</v>
      </c>
      <c r="B29" s="30">
        <v>1</v>
      </c>
    </row>
    <row r="30" spans="1:2" x14ac:dyDescent="0.25">
      <c r="A30" s="31" t="s">
        <v>98</v>
      </c>
      <c r="B30" s="30">
        <v>1</v>
      </c>
    </row>
    <row r="31" spans="1:2" x14ac:dyDescent="0.25">
      <c r="A31" s="31" t="s">
        <v>166</v>
      </c>
      <c r="B31" s="30">
        <v>1</v>
      </c>
    </row>
    <row r="32" spans="1:2" x14ac:dyDescent="0.25">
      <c r="A32" s="28" t="s">
        <v>39</v>
      </c>
      <c r="B32" s="30">
        <v>7</v>
      </c>
    </row>
    <row r="33" spans="1:2" x14ac:dyDescent="0.25">
      <c r="A33" s="31" t="s">
        <v>170</v>
      </c>
      <c r="B33" s="30">
        <v>3</v>
      </c>
    </row>
    <row r="34" spans="1:2" x14ac:dyDescent="0.25">
      <c r="A34" s="31" t="s">
        <v>163</v>
      </c>
      <c r="B34" s="30">
        <v>1</v>
      </c>
    </row>
    <row r="35" spans="1:2" x14ac:dyDescent="0.25">
      <c r="A35" s="31" t="s">
        <v>111</v>
      </c>
      <c r="B35" s="30">
        <v>1</v>
      </c>
    </row>
    <row r="36" spans="1:2" x14ac:dyDescent="0.25">
      <c r="A36" s="31" t="s">
        <v>46</v>
      </c>
      <c r="B36" s="30">
        <v>1</v>
      </c>
    </row>
    <row r="37" spans="1:2" x14ac:dyDescent="0.25">
      <c r="A37" s="31" t="s">
        <v>171</v>
      </c>
      <c r="B37" s="30">
        <v>1</v>
      </c>
    </row>
    <row r="38" spans="1:2" x14ac:dyDescent="0.25">
      <c r="A38" s="28" t="s">
        <v>8</v>
      </c>
      <c r="B38" s="30">
        <v>6</v>
      </c>
    </row>
    <row r="39" spans="1:2" x14ac:dyDescent="0.25">
      <c r="A39" s="31" t="s">
        <v>51</v>
      </c>
      <c r="B39" s="30">
        <v>2</v>
      </c>
    </row>
    <row r="40" spans="1:2" x14ac:dyDescent="0.25">
      <c r="A40" s="31" t="s">
        <v>50</v>
      </c>
      <c r="B40" s="30">
        <v>1</v>
      </c>
    </row>
    <row r="41" spans="1:2" x14ac:dyDescent="0.25">
      <c r="A41" s="31" t="s">
        <v>105</v>
      </c>
      <c r="B41" s="30">
        <v>1</v>
      </c>
    </row>
    <row r="42" spans="1:2" x14ac:dyDescent="0.25">
      <c r="A42" s="31" t="s">
        <v>161</v>
      </c>
      <c r="B42" s="30">
        <v>1</v>
      </c>
    </row>
    <row r="43" spans="1:2" x14ac:dyDescent="0.25">
      <c r="A43" s="31" t="s">
        <v>44</v>
      </c>
      <c r="B43" s="30">
        <v>1</v>
      </c>
    </row>
    <row r="44" spans="1:2" x14ac:dyDescent="0.25">
      <c r="A44" s="28" t="s">
        <v>41</v>
      </c>
      <c r="B44" s="30">
        <v>4</v>
      </c>
    </row>
    <row r="45" spans="1:2" x14ac:dyDescent="0.25">
      <c r="A45" s="31" t="s">
        <v>184</v>
      </c>
      <c r="B45" s="30">
        <v>2</v>
      </c>
    </row>
    <row r="46" spans="1:2" x14ac:dyDescent="0.25">
      <c r="A46" s="31" t="s">
        <v>112</v>
      </c>
      <c r="B46" s="30">
        <v>1</v>
      </c>
    </row>
    <row r="47" spans="1:2" x14ac:dyDescent="0.25">
      <c r="A47" s="31" t="s">
        <v>113</v>
      </c>
      <c r="B47" s="30">
        <v>1</v>
      </c>
    </row>
    <row r="48" spans="1:2" x14ac:dyDescent="0.25">
      <c r="A48" s="28" t="s">
        <v>179</v>
      </c>
      <c r="B48" s="30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CC67-DBE9-42A3-8831-8C7B42D81336}">
  <sheetPr codeName="Лист4"/>
  <dimension ref="A1:B18"/>
  <sheetViews>
    <sheetView workbookViewId="0">
      <selection activeCell="B13" sqref="B13"/>
    </sheetView>
  </sheetViews>
  <sheetFormatPr defaultRowHeight="15" x14ac:dyDescent="0.25"/>
  <cols>
    <col min="1" max="1" width="35" bestFit="1" customWidth="1"/>
    <col min="2" max="2" width="24" bestFit="1" customWidth="1"/>
  </cols>
  <sheetData>
    <row r="1" spans="1:2" x14ac:dyDescent="0.25">
      <c r="A1" s="32" t="s">
        <v>178</v>
      </c>
    </row>
    <row r="2" spans="1:2" x14ac:dyDescent="0.25">
      <c r="A2" t="str">
        <f>"📊 Всего документов: "&amp;COUNTA(Лист1!I:I)-1</f>
        <v>📊 Всего документов: 86</v>
      </c>
    </row>
    <row r="3" spans="1:2" x14ac:dyDescent="0.25">
      <c r="A3" t="str">
        <f>"✅ 1481 отработала верно: "&amp;COUNTIF(Лист1!I:I,"нет")&amp;" ("&amp;TEXT(COUNTIF(Лист1!I:I,"нет")/(COUNTA(Лист1!I:I)-1)*100,"0,0")&amp;"%)    "&amp;REPT("█",ROUND(COUNTIF(Лист1!I:I,"нет")/(COUNTA(Лист1!I:I)-1)*30,0))&amp;REPT("░",30-ROUND(COUNTIF(Лист1!I:I,"нет")/(COUNTA(Лист1!I:I)-1)*30,0))</f>
        <v>✅ 1481 отработала верно: 57 (66,3%)    ████████████████████░░░░░░░░░░</v>
      </c>
    </row>
    <row r="4" spans="1:2" x14ac:dyDescent="0.25">
      <c r="A4" t="str">
        <f>"❌ 1481 ошиблась: "&amp;COUNTIF(Лист1!I:I,"да")&amp;" ("&amp;TEXT(COUNTIF(Лист1!I:I,"да")/(COUNTA(Лист1!I:I)-1)*100,"0,0")&amp;"%)    "&amp;REPT("█",ROUND(COUNTIF(Лист1!I:I,"да")/(COUNTA(Лист1!I:I)-1)*30,0))&amp;REPT("░",30-ROUND(COUNTIF(Лист1!I:I,"да")/(COUNTA(Лист1!I:I)-1)*30,0))</f>
        <v>❌ 1481 ошиблась: 20 (23,3%)    ███████░░░░░░░░░░░░░░░░░░░░░░░</v>
      </c>
    </row>
    <row r="5" spans="1:2" x14ac:dyDescent="0.25">
      <c r="A5" s="33" t="str">
        <f>"  └─ пакетные ошибки (ошибка в ответе 1481): "&amp;COUNTIF(Лист1!E:E,"ошибка")&amp;" ("&amp;TEXT(COUNTIF(Лист1!E:E,"ошибка")/COUNTIF(Лист1!I:I,"да")*100,"0,0")&amp;"% от "&amp;COUNTIF(Лист1!I:I,"да")&amp;")   "&amp;REPT("█",ROUND(COUNTIF(Лист1!E:E,"ошибка")/COUNTIF(Лист1!I:I,"да")*30,0))&amp;REPT("░",30-ROUND(COUNTIF(Лист1!E:E,"ошибка")/COUNTIF(Лист1!I:I,"да")*30,0))</f>
        <v xml:space="preserve">  └─ пакетные ошибки (ошибка в ответе 1481): 11 (55,0% от 20)   █████████████████░░░░░░░░░░░░░</v>
      </c>
    </row>
    <row r="6" spans="1:2" x14ac:dyDescent="0.25">
      <c r="A6" s="33" t="str">
        <f>"  └─ единичные ошибки (other/не ошибка): "&amp;COUNTIF(Лист1!I:I,"да")-COUNTIF(Лист1!E:E,"ошибка")&amp;" ("&amp;TEXT((COUNTIF(Лист1!I:I,"да")-COUNTIF(Лист1!E:E,"ошибка"))/COUNTIF(Лист1!I:I,"да")*100,"0,0")&amp;"% от "&amp;COUNTIF(Лист1!I:I,"да")&amp;")   "&amp;REPT("█",ROUND((COUNTIF(Лист1!I:I,"да")-COUNTIF(Лист1!E:E,"ошибка"))/COUNTIF(Лист1!I:I,"да")*30,0))&amp;REPT("░",30-ROUND((COUNTIF(Лист1!I:I,"да")-COUNTIF(Лист1!E:E,"ошибка"))/COUNTIF(Лист1!I:I,"да")*30,0))</f>
        <v xml:space="preserve">  └─ единичные ошибки (other/не ошибка): 9 (45,0% от 20)   ██████████████░░░░░░░░░░░░░░░░</v>
      </c>
    </row>
    <row r="7" spans="1:2" x14ac:dyDescent="0.25">
      <c r="A7" s="33" t="str">
        <f>"❓ Требует обсуждения: "&amp;COUNTIF(Лист1!I:I,"вопрос")&amp;" ("&amp;TEXT(COUNTIF(Лист1!I:I,"вопрос")/(COUNTA(Лист1!I:I)-1)*100,"0,0")&amp;"%)    "&amp;REPT("█",ROUND(COUNTIF(Лист1!I:I,"вопрос")/(COUNTA(Лист1!I:I)-1)*30,0))&amp;REPT("░",30-ROUND(COUNTIF(Лист1!I:I,"вопрос")/(COUNTA(Лист1!I:I)-1)*30,0))</f>
        <v>❓ Требует обсуждения: 9 (10,5%)    ███░░░░░░░░░░░░░░░░░░░░░░░░░░░</v>
      </c>
    </row>
    <row r="9" spans="1:2" x14ac:dyDescent="0.25">
      <c r="A9" t="s">
        <v>186</v>
      </c>
    </row>
    <row r="10" spans="1:2" x14ac:dyDescent="0.25">
      <c r="A10" s="29" t="s">
        <v>173</v>
      </c>
      <c r="B10" t="s">
        <v>175</v>
      </c>
    </row>
    <row r="12" spans="1:2" x14ac:dyDescent="0.25">
      <c r="A12" s="29" t="s">
        <v>181</v>
      </c>
      <c r="B12" t="s">
        <v>187</v>
      </c>
    </row>
    <row r="13" spans="1:2" x14ac:dyDescent="0.25">
      <c r="A13" s="28" t="s">
        <v>10</v>
      </c>
      <c r="B13" s="30">
        <v>8</v>
      </c>
    </row>
    <row r="14" spans="1:2" x14ac:dyDescent="0.25">
      <c r="A14" s="28" t="s">
        <v>12</v>
      </c>
      <c r="B14" s="30">
        <v>5</v>
      </c>
    </row>
    <row r="15" spans="1:2" x14ac:dyDescent="0.25">
      <c r="A15" s="28" t="s">
        <v>24</v>
      </c>
      <c r="B15" s="30">
        <v>4</v>
      </c>
    </row>
    <row r="16" spans="1:2" x14ac:dyDescent="0.25">
      <c r="A16" s="28" t="s">
        <v>41</v>
      </c>
      <c r="B16" s="30">
        <v>2</v>
      </c>
    </row>
    <row r="17" spans="1:2" x14ac:dyDescent="0.25">
      <c r="A17" s="28" t="s">
        <v>8</v>
      </c>
      <c r="B17" s="30">
        <v>1</v>
      </c>
    </row>
    <row r="18" spans="1:2" x14ac:dyDescent="0.25">
      <c r="A18" s="28" t="s">
        <v>179</v>
      </c>
      <c r="B18" s="3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Ошибки клиента</vt:lpstr>
      <vt:lpstr>Ошибки 1481</vt:lpstr>
    </vt:vector>
  </TitlesOfParts>
  <Company>Банк ВТБ (ПАО)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Ощепков Николай Львович (4069762)</dc:creator>
  <cp:lastModifiedBy>Николай Ощепков</cp:lastModifiedBy>
  <dcterms:created xsi:type="dcterms:W3CDTF">2026-04-21T11:50:46Z</dcterms:created>
  <dcterms:modified xsi:type="dcterms:W3CDTF">2026-04-30T13:40:15Z</dcterms:modified>
</cp:coreProperties>
</file>